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144046e0fc5bde/Desktop/Sln/"/>
    </mc:Choice>
  </mc:AlternateContent>
  <xr:revisionPtr revIDLastSave="115" documentId="13_ncr:1_{D7496079-D815-4F9E-8741-E88956FFBD80}" xr6:coauthVersionLast="47" xr6:coauthVersionMax="47" xr10:uidLastSave="{FB0563A5-BD62-41B9-AAD6-AA659421378C}"/>
  <bookViews>
    <workbookView xWindow="-108" yWindow="-108" windowWidth="23256" windowHeight="12456" activeTab="1" xr2:uid="{5111B4D8-D42A-4097-A76D-0F57DB8929AC}"/>
  </bookViews>
  <sheets>
    <sheet name="Summary" sheetId="4" r:id="rId1"/>
    <sheet name="invoice" sheetId="1" r:id="rId2"/>
    <sheet name="April'25" sheetId="2" r:id="rId3"/>
    <sheet name="May'25" sheetId="3" r:id="rId4"/>
    <sheet name="June'25" sheetId="7" r:id="rId5"/>
    <sheet name="July'25" sheetId="8" r:id="rId6"/>
    <sheet name="Aug'25" sheetId="9" r:id="rId7"/>
    <sheet name="Sept'25" sheetId="10" r:id="rId8"/>
    <sheet name="Oct'25" sheetId="11" r:id="rId9"/>
    <sheet name="Dec'25" sheetId="12" r:id="rId10"/>
    <sheet name="JAN'26" sheetId="13" r:id="rId11"/>
    <sheet name="Feb'26" sheetId="14" r:id="rId12"/>
    <sheet name="Mar'26" sheetId="15" r:id="rId13"/>
    <sheet name="Apr'26" sheetId="16" r:id="rId14"/>
    <sheet name="May'26" sheetId="17" r:id="rId15"/>
    <sheet name="June'26" sheetId="18" r:id="rId16"/>
    <sheet name="July'26" sheetId="19" r:id="rId17"/>
    <sheet name="Augst'26" sheetId="21" r:id="rId18"/>
    <sheet name="Format" sheetId="5" r:id="rId19"/>
    <sheet name="Sheet1" sheetId="20" r:id="rId20"/>
  </sheets>
  <definedNames>
    <definedName name="_xlnm._FilterDatabase" localSheetId="2" hidden="1">'April''25'!$A$2:$R$24</definedName>
    <definedName name="_xlnm._FilterDatabase" localSheetId="6" hidden="1">'Aug''25'!$A$42:$I$101</definedName>
    <definedName name="_xlnm._FilterDatabase" localSheetId="9" hidden="1">'Dec''25'!$A$2:$I$63</definedName>
    <definedName name="_xlnm._FilterDatabase" localSheetId="11" hidden="1">'Feb''26'!$A$2:$I$48</definedName>
    <definedName name="_xlnm._FilterDatabase" localSheetId="10" hidden="1">'JAN''26'!$A$2:$I$30</definedName>
    <definedName name="_xlnm._FilterDatabase" localSheetId="5" hidden="1">'July''25'!$A$2:$I$35</definedName>
    <definedName name="_xlnm._FilterDatabase" localSheetId="4" hidden="1">'June''25'!$A$2:$R$32</definedName>
    <definedName name="_xlnm._FilterDatabase" localSheetId="3" hidden="1">'May''25'!$A$2:$R$23</definedName>
    <definedName name="_xlnm._FilterDatabase" localSheetId="8" hidden="1">'Oct''25'!$A$2:$I$34</definedName>
    <definedName name="_xlnm._FilterDatabase" localSheetId="7" hidden="1">'Sept''25'!$A$2:$I$48</definedName>
    <definedName name="_xlnm.Print_Area" localSheetId="2">'April''25'!$A$1:$M$24</definedName>
    <definedName name="_xlnm.Print_Area" localSheetId="6">'Aug''25'!$A$1:$I$37</definedName>
    <definedName name="_xlnm.Print_Area" localSheetId="17">'Augst''26'!$A$1:$I$33</definedName>
    <definedName name="_xlnm.Print_Area" localSheetId="9">'Dec''25'!$A$1:$I$63</definedName>
    <definedName name="_xlnm.Print_Area" localSheetId="11">'Feb''26'!$A$1:$I$48</definedName>
    <definedName name="_xlnm.Print_Area" localSheetId="1">invoice!$B$914:$N$942</definedName>
    <definedName name="_xlnm.Print_Area" localSheetId="10">'JAN''26'!$A$1:$I$30</definedName>
    <definedName name="_xlnm.Print_Area" localSheetId="5">'July''25'!$A$1:$I$35</definedName>
    <definedName name="_xlnm.Print_Area" localSheetId="16">'July''26'!$A$38:$I$71</definedName>
    <definedName name="_xlnm.Print_Area" localSheetId="4">'June''25'!$A$1:$M$32</definedName>
    <definedName name="_xlnm.Print_Area" localSheetId="3">'May''25'!$A$1:$M$23</definedName>
    <definedName name="_xlnm.Print_Area" localSheetId="8">'Oct''25'!$A$1:$I$34</definedName>
    <definedName name="_xlnm.Print_Area" localSheetId="7">'Sept''25'!$A$1:$I$48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61" i="1" l="1"/>
  <c r="I23" i="21"/>
  <c r="I54" i="21"/>
  <c r="H54" i="21"/>
  <c r="G54" i="21"/>
  <c r="G23" i="21"/>
  <c r="H23" i="21"/>
  <c r="M927" i="1"/>
  <c r="B63" i="19"/>
  <c r="I71" i="19"/>
  <c r="M895" i="1"/>
  <c r="G71" i="19"/>
  <c r="M862" i="1"/>
  <c r="G33" i="19"/>
  <c r="H33" i="19"/>
  <c r="I33" i="19"/>
  <c r="G64" i="18"/>
  <c r="G32" i="17"/>
  <c r="M828" i="1"/>
  <c r="M794" i="1"/>
  <c r="K761" i="1"/>
  <c r="M755" i="1"/>
  <c r="M761" i="1" s="1"/>
  <c r="H88" i="16"/>
  <c r="G88" i="16"/>
  <c r="I87" i="16"/>
  <c r="I86" i="16"/>
  <c r="I85" i="16"/>
  <c r="I84" i="16"/>
  <c r="I83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88" i="16" s="1"/>
  <c r="F45" i="16"/>
  <c r="K727" i="1"/>
  <c r="M721" i="1"/>
  <c r="M727" i="1" s="1"/>
  <c r="H29" i="16"/>
  <c r="G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72" i="15"/>
  <c r="I67" i="15"/>
  <c r="I68" i="15"/>
  <c r="I69" i="15"/>
  <c r="I70" i="15"/>
  <c r="I71" i="15"/>
  <c r="I61" i="15"/>
  <c r="G73" i="15"/>
  <c r="H73" i="15"/>
  <c r="K694" i="1"/>
  <c r="M688" i="1"/>
  <c r="M694" i="1" s="1"/>
  <c r="I66" i="15"/>
  <c r="I65" i="15"/>
  <c r="I64" i="15"/>
  <c r="I63" i="15"/>
  <c r="I62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73" i="15" s="1"/>
  <c r="I48" i="15"/>
  <c r="I47" i="15"/>
  <c r="I46" i="15"/>
  <c r="I45" i="15"/>
  <c r="I44" i="15"/>
  <c r="I43" i="15"/>
  <c r="I42" i="15"/>
  <c r="I41" i="15"/>
  <c r="H34" i="15"/>
  <c r="G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  <c r="K661" i="1"/>
  <c r="M655" i="1"/>
  <c r="M661" i="1" s="1"/>
  <c r="K628" i="1"/>
  <c r="M622" i="1"/>
  <c r="M628" i="1" s="1"/>
  <c r="H103" i="14"/>
  <c r="G103" i="14"/>
  <c r="M588" i="1"/>
  <c r="M594" i="1" s="1"/>
  <c r="K594" i="1"/>
  <c r="I97" i="14"/>
  <c r="I98" i="14"/>
  <c r="I99" i="14"/>
  <c r="I100" i="14"/>
  <c r="I101" i="14"/>
  <c r="I102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H48" i="14"/>
  <c r="G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K564" i="1"/>
  <c r="M558" i="1"/>
  <c r="M564" i="1" s="1"/>
  <c r="I109" i="13"/>
  <c r="H109" i="13"/>
  <c r="G109" i="13"/>
  <c r="I108" i="13"/>
  <c r="I107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106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C75" i="4"/>
  <c r="C76" i="4" s="1"/>
  <c r="C72" i="4"/>
  <c r="K68" i="4"/>
  <c r="L68" i="4" s="1"/>
  <c r="K67" i="4"/>
  <c r="L67" i="4" s="1"/>
  <c r="H48" i="10"/>
  <c r="G48" i="10"/>
  <c r="I47" i="10"/>
  <c r="I46" i="10"/>
  <c r="I45" i="10"/>
  <c r="I44" i="10"/>
  <c r="I43" i="10"/>
  <c r="I42" i="10"/>
  <c r="I41" i="10"/>
  <c r="I40" i="10"/>
  <c r="I39" i="10"/>
  <c r="I38" i="10"/>
  <c r="I37" i="10"/>
  <c r="J35" i="4"/>
  <c r="J36" i="4"/>
  <c r="M60" i="4"/>
  <c r="M61" i="4" s="1"/>
  <c r="H60" i="4"/>
  <c r="I60" i="4" s="1"/>
  <c r="H61" i="4"/>
  <c r="I61" i="4" s="1"/>
  <c r="H62" i="4"/>
  <c r="I62" i="4" s="1"/>
  <c r="H63" i="4"/>
  <c r="I63" i="4" s="1"/>
  <c r="H64" i="4"/>
  <c r="I64" i="4" s="1"/>
  <c r="D52" i="4"/>
  <c r="E52" i="4" s="1"/>
  <c r="H52" i="4"/>
  <c r="I52" i="4" s="1"/>
  <c r="B70" i="4"/>
  <c r="H43" i="4"/>
  <c r="G45" i="4"/>
  <c r="F45" i="4"/>
  <c r="H42" i="4"/>
  <c r="H41" i="4"/>
  <c r="C68" i="4" s="1"/>
  <c r="H40" i="4"/>
  <c r="C67" i="4" s="1"/>
  <c r="H39" i="4"/>
  <c r="C66" i="4" s="1"/>
  <c r="H38" i="4"/>
  <c r="C65" i="4" s="1"/>
  <c r="H32" i="4"/>
  <c r="C59" i="4" s="1"/>
  <c r="D59" i="4" s="1"/>
  <c r="H31" i="4"/>
  <c r="C58" i="4" s="1"/>
  <c r="D58" i="4" s="1"/>
  <c r="H30" i="4"/>
  <c r="C57" i="4" s="1"/>
  <c r="D57" i="4" s="1"/>
  <c r="E57" i="4" s="1"/>
  <c r="H29" i="4"/>
  <c r="C56" i="4" s="1"/>
  <c r="D56" i="4" s="1"/>
  <c r="E56" i="4" s="1"/>
  <c r="H28" i="4"/>
  <c r="C55" i="4" s="1"/>
  <c r="D55" i="4" s="1"/>
  <c r="E55" i="4" s="1"/>
  <c r="H27" i="4"/>
  <c r="C54" i="4" s="1"/>
  <c r="D54" i="4" s="1"/>
  <c r="E54" i="4" s="1"/>
  <c r="H26" i="4"/>
  <c r="C53" i="4" s="1"/>
  <c r="D53" i="4" s="1"/>
  <c r="E53" i="4" s="1"/>
  <c r="H25" i="4"/>
  <c r="H24" i="4"/>
  <c r="H23" i="4"/>
  <c r="C51" i="4" s="1"/>
  <c r="K534" i="1"/>
  <c r="M528" i="1"/>
  <c r="M534" i="1" s="1"/>
  <c r="H30" i="13"/>
  <c r="G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K504" i="1"/>
  <c r="M498" i="1"/>
  <c r="M504" i="1" s="1"/>
  <c r="K475" i="1"/>
  <c r="M469" i="1"/>
  <c r="M475" i="1" s="1"/>
  <c r="H110" i="12"/>
  <c r="I109" i="12"/>
  <c r="G101" i="12"/>
  <c r="G110" i="12" s="1"/>
  <c r="G108" i="12"/>
  <c r="I108" i="12" s="1"/>
  <c r="I107" i="12"/>
  <c r="I106" i="12"/>
  <c r="I105" i="12"/>
  <c r="I104" i="12"/>
  <c r="H63" i="12"/>
  <c r="G63" i="12"/>
  <c r="I62" i="12"/>
  <c r="I60" i="12"/>
  <c r="I59" i="12"/>
  <c r="I58" i="12"/>
  <c r="I57" i="12"/>
  <c r="I56" i="12"/>
  <c r="I55" i="12"/>
  <c r="I61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110" i="12" s="1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K445" i="1"/>
  <c r="M439" i="1"/>
  <c r="M445" i="1" s="1"/>
  <c r="K415" i="1"/>
  <c r="M409" i="1"/>
  <c r="M415" i="1" s="1"/>
  <c r="M966" i="1" l="1"/>
  <c r="M965" i="1"/>
  <c r="M967" i="1" s="1"/>
  <c r="M932" i="1"/>
  <c r="M931" i="1"/>
  <c r="M933" i="1" s="1"/>
  <c r="I29" i="16"/>
  <c r="I103" i="14"/>
  <c r="H59" i="4"/>
  <c r="E59" i="4"/>
  <c r="H58" i="4"/>
  <c r="I58" i="4" s="1"/>
  <c r="E58" i="4"/>
  <c r="D51" i="4"/>
  <c r="E51" i="4" s="1"/>
  <c r="C70" i="4"/>
  <c r="M900" i="1"/>
  <c r="M899" i="1"/>
  <c r="M901" i="1" s="1"/>
  <c r="M867" i="1"/>
  <c r="M866" i="1"/>
  <c r="M868" i="1" s="1"/>
  <c r="M833" i="1"/>
  <c r="M832" i="1"/>
  <c r="M834" i="1" s="1"/>
  <c r="M798" i="1"/>
  <c r="M799" i="1"/>
  <c r="I34" i="15"/>
  <c r="I48" i="14"/>
  <c r="B71" i="4"/>
  <c r="B72" i="4" s="1"/>
  <c r="H45" i="4"/>
  <c r="I30" i="13"/>
  <c r="I63" i="12"/>
  <c r="I112" i="12" s="1"/>
  <c r="H112" i="12"/>
  <c r="G112" i="12"/>
  <c r="I10" i="11"/>
  <c r="H76" i="11"/>
  <c r="G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H34" i="11"/>
  <c r="G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9" i="11"/>
  <c r="I8" i="11"/>
  <c r="I7" i="11"/>
  <c r="I6" i="11"/>
  <c r="I5" i="11"/>
  <c r="I4" i="11"/>
  <c r="I3" i="11"/>
  <c r="I60" i="9"/>
  <c r="K385" i="1"/>
  <c r="M379" i="1"/>
  <c r="M385" i="1" s="1"/>
  <c r="K355" i="1"/>
  <c r="M349" i="1"/>
  <c r="M355" i="1" s="1"/>
  <c r="K324" i="1"/>
  <c r="M318" i="1"/>
  <c r="M324" i="1" s="1"/>
  <c r="H101" i="9"/>
  <c r="G101" i="9"/>
  <c r="I59" i="4" l="1"/>
  <c r="I67" i="4"/>
  <c r="H67" i="4" s="1"/>
  <c r="I68" i="4"/>
  <c r="H68" i="4" s="1"/>
  <c r="I70" i="4"/>
  <c r="H70" i="4" s="1"/>
  <c r="I71" i="4"/>
  <c r="H71" i="4" s="1"/>
  <c r="D60" i="4"/>
  <c r="E60" i="4" s="1"/>
  <c r="I69" i="4"/>
  <c r="H69" i="4" s="1"/>
  <c r="I72" i="4"/>
  <c r="H72" i="4" s="1"/>
  <c r="M800" i="1"/>
  <c r="H78" i="11"/>
  <c r="I76" i="11"/>
  <c r="G78" i="11"/>
  <c r="I34" i="11"/>
  <c r="I87" i="10"/>
  <c r="I88" i="10"/>
  <c r="I89" i="10"/>
  <c r="I90" i="10"/>
  <c r="I91" i="10"/>
  <c r="I92" i="10"/>
  <c r="I93" i="10"/>
  <c r="I94" i="10"/>
  <c r="I95" i="10"/>
  <c r="I96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36" i="10"/>
  <c r="I35" i="10"/>
  <c r="I34" i="10"/>
  <c r="I33" i="10"/>
  <c r="I23" i="10"/>
  <c r="I24" i="10"/>
  <c r="I25" i="10"/>
  <c r="I26" i="10"/>
  <c r="I27" i="10"/>
  <c r="I28" i="10"/>
  <c r="I29" i="10"/>
  <c r="I30" i="10"/>
  <c r="I31" i="10"/>
  <c r="I32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3" i="10"/>
  <c r="I48" i="10" s="1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H97" i="10"/>
  <c r="G97" i="10"/>
  <c r="I54" i="10"/>
  <c r="H99" i="10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K293" i="1"/>
  <c r="M287" i="1"/>
  <c r="M293" i="1" s="1"/>
  <c r="I36" i="9"/>
  <c r="I35" i="9"/>
  <c r="I34" i="9"/>
  <c r="G37" i="9"/>
  <c r="G103" i="9" s="1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H20" i="9"/>
  <c r="I20" i="9" s="1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K263" i="1"/>
  <c r="M257" i="1"/>
  <c r="M263" i="1" s="1"/>
  <c r="H86" i="8"/>
  <c r="G86" i="8"/>
  <c r="G89" i="8" s="1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86" i="8" s="1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K234" i="1"/>
  <c r="M228" i="1"/>
  <c r="M234" i="1" s="1"/>
  <c r="I34" i="8"/>
  <c r="I33" i="8"/>
  <c r="I32" i="8"/>
  <c r="I31" i="8"/>
  <c r="G35" i="8"/>
  <c r="I30" i="8"/>
  <c r="I29" i="8"/>
  <c r="I28" i="8"/>
  <c r="I27" i="8"/>
  <c r="I26" i="8"/>
  <c r="I25" i="8"/>
  <c r="I24" i="8"/>
  <c r="I23" i="8"/>
  <c r="I22" i="8"/>
  <c r="I21" i="8"/>
  <c r="H20" i="8"/>
  <c r="I20" i="8" s="1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M79" i="7"/>
  <c r="M83" i="3"/>
  <c r="M82" i="3"/>
  <c r="F58" i="2"/>
  <c r="F57" i="2"/>
  <c r="K203" i="1"/>
  <c r="M197" i="1"/>
  <c r="M203" i="1" s="1"/>
  <c r="I78" i="11" l="1"/>
  <c r="I101" i="9"/>
  <c r="G99" i="10"/>
  <c r="I97" i="10"/>
  <c r="I37" i="9"/>
  <c r="H37" i="9"/>
  <c r="H103" i="9" s="1"/>
  <c r="H35" i="8"/>
  <c r="H89" i="8" s="1"/>
  <c r="I35" i="8"/>
  <c r="I89" i="8" s="1"/>
  <c r="K74" i="7"/>
  <c r="M73" i="7"/>
  <c r="M72" i="7"/>
  <c r="M70" i="7"/>
  <c r="M69" i="7"/>
  <c r="M68" i="7"/>
  <c r="M67" i="7"/>
  <c r="M66" i="7"/>
  <c r="M65" i="7"/>
  <c r="M71" i="7"/>
  <c r="M64" i="7"/>
  <c r="M63" i="7"/>
  <c r="M62" i="7"/>
  <c r="M61" i="7"/>
  <c r="M60" i="7"/>
  <c r="M59" i="7"/>
  <c r="M58" i="7"/>
  <c r="M57" i="7"/>
  <c r="M56" i="7"/>
  <c r="M55" i="7"/>
  <c r="L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L38" i="7"/>
  <c r="M37" i="7"/>
  <c r="K173" i="1"/>
  <c r="M54" i="7" l="1"/>
  <c r="L74" i="7"/>
  <c r="I103" i="9"/>
  <c r="I99" i="10"/>
  <c r="M74" i="7"/>
  <c r="M38" i="7"/>
  <c r="M167" i="1"/>
  <c r="M173" i="1" s="1"/>
  <c r="M30" i="7" l="1"/>
  <c r="M29" i="7"/>
  <c r="M28" i="7"/>
  <c r="M27" i="7"/>
  <c r="M26" i="7"/>
  <c r="M25" i="7"/>
  <c r="M24" i="7"/>
  <c r="M23" i="7"/>
  <c r="M31" i="7"/>
  <c r="M22" i="7"/>
  <c r="W32" i="7"/>
  <c r="V32" i="7"/>
  <c r="Q32" i="7"/>
  <c r="P32" i="7"/>
  <c r="O32" i="7"/>
  <c r="K32" i="7"/>
  <c r="K76" i="7" s="1"/>
  <c r="M21" i="7"/>
  <c r="L20" i="7"/>
  <c r="M20" i="7" s="1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L4" i="7"/>
  <c r="M3" i="7"/>
  <c r="Q55" i="1"/>
  <c r="Q54" i="1"/>
  <c r="T54" i="1" s="1"/>
  <c r="S56" i="1"/>
  <c r="S57" i="1" s="1"/>
  <c r="P51" i="1"/>
  <c r="Q51" i="1" s="1"/>
  <c r="P20" i="1"/>
  <c r="Q20" i="1" s="1"/>
  <c r="P81" i="1"/>
  <c r="Q81" i="1" s="1"/>
  <c r="Q53" i="1" l="1"/>
  <c r="Q83" i="1"/>
  <c r="Q84" i="1" s="1"/>
  <c r="L32" i="7"/>
  <c r="L76" i="7" s="1"/>
  <c r="M4" i="7"/>
  <c r="M32" i="7" s="1"/>
  <c r="Q56" i="1"/>
  <c r="Q33" i="7" l="1"/>
  <c r="M76" i="7"/>
  <c r="Q57" i="1"/>
  <c r="K77" i="3"/>
  <c r="L77" i="3"/>
  <c r="M76" i="3"/>
  <c r="M66" i="3"/>
  <c r="M75" i="3"/>
  <c r="M74" i="3"/>
  <c r="M73" i="3"/>
  <c r="M72" i="3"/>
  <c r="M71" i="3"/>
  <c r="M70" i="3"/>
  <c r="M69" i="3"/>
  <c r="M68" i="3"/>
  <c r="M67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K47" i="3"/>
  <c r="M46" i="3"/>
  <c r="M77" i="3" l="1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L30" i="3"/>
  <c r="L47" i="3" s="1"/>
  <c r="M29" i="3"/>
  <c r="K143" i="1" l="1"/>
  <c r="M137" i="1"/>
  <c r="M143" i="1" s="1"/>
  <c r="M30" i="3"/>
  <c r="M47" i="3" s="1"/>
  <c r="K81" i="1"/>
  <c r="W23" i="3" l="1"/>
  <c r="V23" i="3"/>
  <c r="K23" i="3"/>
  <c r="K80" i="3" s="1"/>
  <c r="K78" i="7" s="1"/>
  <c r="M22" i="3"/>
  <c r="M21" i="3"/>
  <c r="L20" i="3"/>
  <c r="M19" i="3"/>
  <c r="M18" i="3"/>
  <c r="M17" i="3"/>
  <c r="M16" i="3"/>
  <c r="M15" i="3"/>
  <c r="M14" i="3"/>
  <c r="M13" i="3"/>
  <c r="M12" i="3"/>
  <c r="M11" i="3"/>
  <c r="M10" i="3"/>
  <c r="M9" i="3"/>
  <c r="M8" i="3"/>
  <c r="L7" i="3"/>
  <c r="M7" i="3" s="1"/>
  <c r="L6" i="3"/>
  <c r="M6" i="3" s="1"/>
  <c r="M5" i="3"/>
  <c r="L4" i="3"/>
  <c r="M4" i="3" s="1"/>
  <c r="P53" i="2"/>
  <c r="Q52" i="2"/>
  <c r="Q51" i="2"/>
  <c r="Q50" i="2"/>
  <c r="Q49" i="2"/>
  <c r="Q48" i="2"/>
  <c r="Q47" i="2"/>
  <c r="Q46" i="2"/>
  <c r="Q45" i="2"/>
  <c r="Q43" i="2"/>
  <c r="Q38" i="2"/>
  <c r="Q36" i="2"/>
  <c r="Q32" i="2"/>
  <c r="P52" i="2"/>
  <c r="P50" i="2"/>
  <c r="P49" i="2"/>
  <c r="P47" i="2"/>
  <c r="P46" i="2"/>
  <c r="P45" i="2"/>
  <c r="P44" i="2"/>
  <c r="Q44" i="2" s="1"/>
  <c r="P41" i="2"/>
  <c r="Q41" i="2" s="1"/>
  <c r="P40" i="2"/>
  <c r="Q40" i="2" s="1"/>
  <c r="O52" i="2"/>
  <c r="O50" i="2"/>
  <c r="O49" i="2"/>
  <c r="O47" i="2"/>
  <c r="O46" i="2"/>
  <c r="O45" i="2"/>
  <c r="O44" i="2"/>
  <c r="O42" i="2"/>
  <c r="Q42" i="2" s="1"/>
  <c r="O41" i="2"/>
  <c r="O40" i="2"/>
  <c r="O39" i="2"/>
  <c r="Q39" i="2" s="1"/>
  <c r="O37" i="2"/>
  <c r="Q37" i="2" s="1"/>
  <c r="O35" i="2"/>
  <c r="Q35" i="2" s="1"/>
  <c r="O34" i="2"/>
  <c r="Q34" i="2" s="1"/>
  <c r="O33" i="2"/>
  <c r="Q33" i="2" s="1"/>
  <c r="O31" i="2"/>
  <c r="Q31" i="2" s="1"/>
  <c r="O30" i="2"/>
  <c r="Q30" i="2" s="1"/>
  <c r="O29" i="2"/>
  <c r="V53" i="2"/>
  <c r="W24" i="2"/>
  <c r="V24" i="2"/>
  <c r="L52" i="2"/>
  <c r="M52" i="2" s="1"/>
  <c r="L50" i="2"/>
  <c r="M50" i="2" s="1"/>
  <c r="M51" i="2"/>
  <c r="L49" i="2"/>
  <c r="M49" i="2" s="1"/>
  <c r="L47" i="2"/>
  <c r="M47" i="2" s="1"/>
  <c r="L46" i="2"/>
  <c r="M46" i="2" s="1"/>
  <c r="L45" i="2"/>
  <c r="M45" i="2" s="1"/>
  <c r="L44" i="2"/>
  <c r="L41" i="2"/>
  <c r="L40" i="2"/>
  <c r="M40" i="2" s="1"/>
  <c r="K53" i="2"/>
  <c r="K55" i="2" s="1"/>
  <c r="M48" i="2"/>
  <c r="M43" i="2"/>
  <c r="M42" i="2"/>
  <c r="M39" i="2"/>
  <c r="M38" i="2"/>
  <c r="M37" i="2"/>
  <c r="M36" i="2"/>
  <c r="M35" i="2"/>
  <c r="M34" i="2"/>
  <c r="M33" i="2"/>
  <c r="M32" i="2"/>
  <c r="M31" i="2"/>
  <c r="M30" i="2"/>
  <c r="M29" i="2"/>
  <c r="L23" i="2"/>
  <c r="M23" i="2" s="1"/>
  <c r="L22" i="2"/>
  <c r="M22" i="2" s="1"/>
  <c r="H22" i="2"/>
  <c r="G22" i="2"/>
  <c r="O21" i="2"/>
  <c r="K24" i="2"/>
  <c r="L21" i="2"/>
  <c r="M21" i="2" s="1"/>
  <c r="Q29" i="2" l="1"/>
  <c r="Q53" i="2" s="1"/>
  <c r="O53" i="2"/>
  <c r="G101" i="10"/>
  <c r="K56" i="2"/>
  <c r="G80" i="11"/>
  <c r="L25" i="2"/>
  <c r="K26" i="2" s="1"/>
  <c r="L26" i="2" s="1"/>
  <c r="K112" i="1"/>
  <c r="M106" i="1"/>
  <c r="M112" i="1" s="1"/>
  <c r="L23" i="3"/>
  <c r="L80" i="3" s="1"/>
  <c r="M3" i="3"/>
  <c r="M20" i="3"/>
  <c r="O23" i="3"/>
  <c r="L53" i="2"/>
  <c r="M44" i="2"/>
  <c r="M41" i="2"/>
  <c r="P21" i="2"/>
  <c r="Q21" i="2" s="1"/>
  <c r="P23" i="2"/>
  <c r="Q23" i="2" s="1"/>
  <c r="P22" i="2"/>
  <c r="Q22" i="2" s="1"/>
  <c r="Q23" i="3" l="1"/>
  <c r="M23" i="3"/>
  <c r="M80" i="3" s="1"/>
  <c r="P23" i="3"/>
  <c r="M53" i="2"/>
  <c r="P20" i="2"/>
  <c r="Q20" i="2" s="1"/>
  <c r="M20" i="2"/>
  <c r="P19" i="2"/>
  <c r="O19" i="2"/>
  <c r="M19" i="2"/>
  <c r="P18" i="2"/>
  <c r="O18" i="2"/>
  <c r="M18" i="2"/>
  <c r="P17" i="2"/>
  <c r="O17" i="2"/>
  <c r="M17" i="2"/>
  <c r="P16" i="2"/>
  <c r="O16" i="2"/>
  <c r="M16" i="2"/>
  <c r="P15" i="2"/>
  <c r="O15" i="2"/>
  <c r="M15" i="2"/>
  <c r="P14" i="2"/>
  <c r="Q14" i="2" s="1"/>
  <c r="M14" i="2"/>
  <c r="O13" i="2"/>
  <c r="L13" i="2"/>
  <c r="P13" i="2" s="1"/>
  <c r="P12" i="2"/>
  <c r="O12" i="2"/>
  <c r="M12" i="2"/>
  <c r="P11" i="2"/>
  <c r="Q11" i="2" s="1"/>
  <c r="M11" i="2"/>
  <c r="P10" i="2"/>
  <c r="Q10" i="2" s="1"/>
  <c r="M10" i="2"/>
  <c r="P9" i="2"/>
  <c r="Q9" i="2" s="1"/>
  <c r="M9" i="2"/>
  <c r="P8" i="2"/>
  <c r="Q8" i="2" s="1"/>
  <c r="M8" i="2"/>
  <c r="O7" i="2"/>
  <c r="L7" i="2"/>
  <c r="M7" i="2" s="1"/>
  <c r="O6" i="2"/>
  <c r="L6" i="2"/>
  <c r="M6" i="2" s="1"/>
  <c r="L5" i="2"/>
  <c r="P5" i="2" s="1"/>
  <c r="Q5" i="2" s="1"/>
  <c r="L4" i="2"/>
  <c r="M4" i="2" s="1"/>
  <c r="O3" i="2"/>
  <c r="L3" i="2"/>
  <c r="Q24" i="3" l="1"/>
  <c r="Q13" i="2"/>
  <c r="P3" i="2"/>
  <c r="L24" i="2"/>
  <c r="L55" i="2" s="1"/>
  <c r="O24" i="2"/>
  <c r="O55" i="2" s="1"/>
  <c r="P6" i="2"/>
  <c r="Q6" i="2" s="1"/>
  <c r="Q16" i="2"/>
  <c r="Q19" i="2"/>
  <c r="P7" i="2"/>
  <c r="Q7" i="2" s="1"/>
  <c r="P4" i="2"/>
  <c r="Q4" i="2" s="1"/>
  <c r="Q17" i="2"/>
  <c r="Q15" i="2"/>
  <c r="Q12" i="2"/>
  <c r="Q18" i="2"/>
  <c r="Q3" i="2"/>
  <c r="M3" i="2"/>
  <c r="M13" i="2"/>
  <c r="M5" i="2"/>
  <c r="L78" i="7" l="1"/>
  <c r="Q24" i="2"/>
  <c r="Q55" i="2" s="1"/>
  <c r="M24" i="2"/>
  <c r="M55" i="2" s="1"/>
  <c r="P24" i="2"/>
  <c r="P55" i="2" s="1"/>
  <c r="H80" i="11" l="1"/>
  <c r="H101" i="10"/>
  <c r="M78" i="7"/>
  <c r="M80" i="7" s="1"/>
  <c r="M81" i="7" s="1"/>
  <c r="I80" i="11"/>
  <c r="I101" i="10"/>
  <c r="Q56" i="2"/>
  <c r="Q57" i="2" s="1"/>
  <c r="Q25" i="2"/>
  <c r="Q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tc={B61A392D-B8F9-424F-9534-F766F29B7E40}</author>
    <author>tc={F2D9BDF4-3CA4-411C-81A9-08731737AF46}</author>
  </authors>
  <commentList>
    <comment ref="K8" authorId="0" shapeId="0" xr:uid="{B61A392D-B8F9-424F-9534-F766F29B7E4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rate as ALEAP to KKP</t>
      </text>
    </comment>
    <comment ref="K10" authorId="1" shapeId="0" xr:uid="{F2D9BDF4-3CA4-411C-81A9-08731737AF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Considered KKP to Gachibowli rates</t>
      </text>
    </comment>
  </commentList>
</comments>
</file>

<file path=xl/sharedStrings.xml><?xml version="1.0" encoding="utf-8"?>
<sst xmlns="http://schemas.openxmlformats.org/spreadsheetml/2006/main" count="6844" uniqueCount="689">
  <si>
    <t>Tax Invoice</t>
  </si>
  <si>
    <t>To</t>
  </si>
  <si>
    <t>M/s.Indian Immunologicals Limited</t>
  </si>
  <si>
    <t>GST No.</t>
  </si>
  <si>
    <t>36AAAC16620F1ZV</t>
  </si>
  <si>
    <t>Place of Supply: Telangana</t>
  </si>
  <si>
    <t>Bill particulars</t>
  </si>
  <si>
    <t>Transportation service for the period of 01.04.2025 to 15.04.2025</t>
  </si>
  <si>
    <t>Amount</t>
  </si>
  <si>
    <t>GST</t>
  </si>
  <si>
    <t>Total Amount</t>
  </si>
  <si>
    <t xml:space="preserve">SLN logistics </t>
  </si>
  <si>
    <t>Office:1-5-1115/506, Flat no.304, Panchasheel Enclave, Old Alwal – 5000010,  GST NO. 36EGSPD7615E1Z8, Mobile:9396673734</t>
  </si>
  <si>
    <t>Inv. Dt</t>
  </si>
  <si>
    <t>15.04.2025</t>
  </si>
  <si>
    <t>IIL/04/2025-26-001</t>
  </si>
  <si>
    <t xml:space="preserve">Total </t>
  </si>
  <si>
    <t>Remarks:</t>
  </si>
  <si>
    <t>for SLN Logistics</t>
  </si>
  <si>
    <t>Authorised Signatory</t>
  </si>
  <si>
    <t>Inv. No.</t>
  </si>
  <si>
    <t>as per the particulars attached</t>
  </si>
  <si>
    <r>
      <t>The recipient is liable to pay GST under reverse charge mechanism as per notification no.13/2017 – Central Tax ( Rate) dated 28</t>
    </r>
    <r>
      <rPr>
        <vertAlign val="superscript"/>
        <sz val="10"/>
        <color rgb="FF000000"/>
        <rFont val="Aptos"/>
        <family val="2"/>
      </rPr>
      <t>th</t>
    </r>
    <r>
      <rPr>
        <sz val="10"/>
        <color rgb="FF000000"/>
        <rFont val="Aptos"/>
        <family val="2"/>
      </rPr>
      <t xml:space="preserve"> June 2017</t>
    </r>
  </si>
  <si>
    <t>Rakshapuram, Gachibowli</t>
  </si>
  <si>
    <t>Hyderabad, Telangana</t>
  </si>
  <si>
    <t>S.No.</t>
  </si>
  <si>
    <t>Date</t>
  </si>
  <si>
    <t>From Location</t>
  </si>
  <si>
    <t>To location</t>
  </si>
  <si>
    <t>NO OF BOXES</t>
  </si>
  <si>
    <t>Vehicle No</t>
  </si>
  <si>
    <t>Gross weight</t>
  </si>
  <si>
    <t>Volumetric weight</t>
  </si>
  <si>
    <t>Weight in Tons</t>
  </si>
  <si>
    <t>Chargeable weight</t>
  </si>
  <si>
    <t>Rate</t>
  </si>
  <si>
    <t>Hamali</t>
  </si>
  <si>
    <t>Total freight</t>
  </si>
  <si>
    <t>Remarks</t>
  </si>
  <si>
    <t>Previous rate</t>
  </si>
  <si>
    <t>hamali</t>
  </si>
  <si>
    <t>Total</t>
  </si>
  <si>
    <t>03.04.25</t>
  </si>
  <si>
    <t>Priya feeds - Cherlapally</t>
  </si>
  <si>
    <t>IIL-Karkapatla</t>
  </si>
  <si>
    <t>TS09VE2987</t>
  </si>
  <si>
    <t>4MT</t>
  </si>
  <si>
    <t>6MT</t>
  </si>
  <si>
    <t>2 members@1200</t>
  </si>
  <si>
    <t>ealier party used to have only 3 ton capacity vehicle</t>
  </si>
  <si>
    <t>04.04.25</t>
  </si>
  <si>
    <t>5.17MT</t>
  </si>
  <si>
    <t>3 members@1200</t>
  </si>
  <si>
    <t>IIL-UPPAL</t>
  </si>
  <si>
    <t>AP28TA0092</t>
  </si>
  <si>
    <t>3MT</t>
  </si>
  <si>
    <t>07.04.25</t>
  </si>
  <si>
    <t>TS06UA7249</t>
  </si>
  <si>
    <t>6.3MT</t>
  </si>
  <si>
    <t>Sanathnagr</t>
  </si>
  <si>
    <t>TG08T8450</t>
  </si>
  <si>
    <t>2MT</t>
  </si>
  <si>
    <t>1 members@1200</t>
  </si>
  <si>
    <t>1MT</t>
  </si>
  <si>
    <t>SANZYME-KOLTHUR</t>
  </si>
  <si>
    <t>IIL-Gachibowli</t>
  </si>
  <si>
    <t>TG08T9023</t>
  </si>
  <si>
    <t>08.04.25</t>
  </si>
  <si>
    <t>4.91MT</t>
  </si>
  <si>
    <t>3 members @1200</t>
  </si>
  <si>
    <t>09.04.25</t>
  </si>
  <si>
    <t>Potential-ALEAP</t>
  </si>
  <si>
    <t>7.70MT</t>
  </si>
  <si>
    <t>9MT</t>
  </si>
  <si>
    <t>4 members @1200</t>
  </si>
  <si>
    <t>10.04.25</t>
  </si>
  <si>
    <t>7.3MT</t>
  </si>
  <si>
    <t>TS12UB2595</t>
  </si>
  <si>
    <t>11.04.25</t>
  </si>
  <si>
    <t>TS09UC4067</t>
  </si>
  <si>
    <t>4.3MT</t>
  </si>
  <si>
    <t>2 members @1200</t>
  </si>
  <si>
    <t>1 members @1200</t>
  </si>
  <si>
    <t>6.2MT</t>
  </si>
  <si>
    <t>14.04.25</t>
  </si>
  <si>
    <t>15.04.25</t>
  </si>
  <si>
    <t>Gubba-Medchal</t>
  </si>
  <si>
    <t>Hamali members</t>
  </si>
  <si>
    <t>-</t>
  </si>
  <si>
    <t>16.04.25</t>
  </si>
  <si>
    <t>5MT</t>
  </si>
  <si>
    <t>17.04.25</t>
  </si>
  <si>
    <t>TS12UC3042</t>
  </si>
  <si>
    <t>18.04.25</t>
  </si>
  <si>
    <t>AP20TA1171</t>
  </si>
  <si>
    <t>21.04.25</t>
  </si>
  <si>
    <t>22.04.25</t>
  </si>
  <si>
    <t>AP28TA6680</t>
  </si>
  <si>
    <t>Unique biotech-Turkapally</t>
  </si>
  <si>
    <t>24.04.25</t>
  </si>
  <si>
    <t>25.04.25</t>
  </si>
  <si>
    <t>28.04.25</t>
  </si>
  <si>
    <t>29.04.25</t>
  </si>
  <si>
    <t>30.04.25</t>
  </si>
  <si>
    <t>Trip particulars ( 01.04.2025 to 15.04.2025)</t>
  </si>
  <si>
    <t>Trip particulars (16.04.2025 to 30.4.2025)</t>
  </si>
  <si>
    <t>Approx</t>
  </si>
  <si>
    <t>IIL/04/2025-26-002</t>
  </si>
  <si>
    <t>30.04.2025</t>
  </si>
  <si>
    <t>Transportation service for the period of 16.04.2025 to 30.04.2025</t>
  </si>
  <si>
    <t>Trip particulars ( 01.05.2025 to 10.05.2025)</t>
  </si>
  <si>
    <t>02.05.25</t>
  </si>
  <si>
    <t>05.05.25</t>
  </si>
  <si>
    <t>06.05.25</t>
  </si>
  <si>
    <t>09.05.25</t>
  </si>
  <si>
    <t>07.05.25</t>
  </si>
  <si>
    <t>08.05.25</t>
  </si>
  <si>
    <t>AP29T81940</t>
  </si>
  <si>
    <t>6.5MT</t>
  </si>
  <si>
    <t>10.05.2025</t>
  </si>
  <si>
    <t>IIL/05/2025-26-001</t>
  </si>
  <si>
    <t>Transportation service for the period of 01.05.2025 to 10.05.2025</t>
  </si>
  <si>
    <t>Trip particulars (11.05.2025 to 20.05.2025)</t>
  </si>
  <si>
    <t>12.05.25</t>
  </si>
  <si>
    <t>IIL-Uppal</t>
  </si>
  <si>
    <t>TS05UA0781</t>
  </si>
  <si>
    <t>13.05.25</t>
  </si>
  <si>
    <t>14.05.25</t>
  </si>
  <si>
    <t>15.05.25</t>
  </si>
  <si>
    <t>16.05.25</t>
  </si>
  <si>
    <t>17.05.25</t>
  </si>
  <si>
    <t>CONSIDERED ALEAP TO KKP</t>
  </si>
  <si>
    <t>19.05.25</t>
  </si>
  <si>
    <t>IIL/05/2025-26-002</t>
  </si>
  <si>
    <t>20.05.2025</t>
  </si>
  <si>
    <t>Trip particulars (21.05.2025 to 31.05.2025)</t>
  </si>
  <si>
    <t>21.05.25</t>
  </si>
  <si>
    <t>22.05.25</t>
  </si>
  <si>
    <t>23.05.25</t>
  </si>
  <si>
    <t>24.05.25</t>
  </si>
  <si>
    <t>26.05.25</t>
  </si>
  <si>
    <t>Sanathnagar</t>
  </si>
  <si>
    <t>27.05.25</t>
  </si>
  <si>
    <t>28.05.25</t>
  </si>
  <si>
    <t>29.05.25</t>
  </si>
  <si>
    <t>RGAI-Shamshabad</t>
  </si>
  <si>
    <t>30.05.25</t>
  </si>
  <si>
    <t xml:space="preserve">Considered 6MT </t>
  </si>
  <si>
    <t>considered aleap to kkp</t>
  </si>
  <si>
    <t>Inv.No.</t>
  </si>
  <si>
    <t>Bills received from service provider</t>
  </si>
  <si>
    <t>Inv.Date</t>
  </si>
  <si>
    <t>Service from Dt.</t>
  </si>
  <si>
    <t>To Date</t>
  </si>
  <si>
    <t>Month</t>
  </si>
  <si>
    <t>Amount cleared</t>
  </si>
  <si>
    <t>Bills Submitted to IIL</t>
  </si>
  <si>
    <t>Nil</t>
  </si>
  <si>
    <t>Month Total</t>
  </si>
  <si>
    <t>Transportation service for the period of 11.05.2025 to 20.05.2025</t>
  </si>
  <si>
    <t>IIL/05/2025-26-003</t>
  </si>
  <si>
    <t>31.05.2025</t>
  </si>
  <si>
    <t>Transportation service for the period of 21.05.2025 to 31.05.2025</t>
  </si>
  <si>
    <t>S.No</t>
  </si>
  <si>
    <t>Weight/Vol.weight</t>
  </si>
  <si>
    <t>Claimed Weight</t>
  </si>
  <si>
    <t>No of Boxes</t>
  </si>
  <si>
    <t>Total Amt.</t>
  </si>
  <si>
    <t>Service provider</t>
  </si>
  <si>
    <t>Bill Particulars from April'2025 to 31.03.2026</t>
  </si>
  <si>
    <t>From location</t>
  </si>
  <si>
    <t>To Location</t>
  </si>
  <si>
    <t>sudhakar</t>
  </si>
  <si>
    <t>sonu</t>
  </si>
  <si>
    <t>01.04.2025</t>
  </si>
  <si>
    <t>labour</t>
  </si>
  <si>
    <t>vehicles</t>
  </si>
  <si>
    <t>TS08UA8210</t>
  </si>
  <si>
    <t>02.06.25</t>
  </si>
  <si>
    <t>TS08UE8153</t>
  </si>
  <si>
    <t>03.06.25</t>
  </si>
  <si>
    <t>04.06.25</t>
  </si>
  <si>
    <t>Bollaram</t>
  </si>
  <si>
    <t>05.06.25</t>
  </si>
  <si>
    <t>06.06.25</t>
  </si>
  <si>
    <t>09.06.25</t>
  </si>
  <si>
    <t>10.06.25</t>
  </si>
  <si>
    <t>12.06.25</t>
  </si>
  <si>
    <t>13.06.25</t>
  </si>
  <si>
    <t>RGAI-shamshabad</t>
  </si>
  <si>
    <t>14.06.25</t>
  </si>
  <si>
    <t>IIL/06/2025-26-001</t>
  </si>
  <si>
    <t>15.06.25</t>
  </si>
  <si>
    <t>Transportation service for the period of 01.06.2025 to 14.06.2025</t>
  </si>
  <si>
    <t>Trip particulars ( 15.06.2025 to 30.06.2025)</t>
  </si>
  <si>
    <t>16.06.25</t>
  </si>
  <si>
    <t>17.06.25</t>
  </si>
  <si>
    <t>18.06.25</t>
  </si>
  <si>
    <t>19.06.25</t>
  </si>
  <si>
    <t>20.06.25</t>
  </si>
  <si>
    <t>23.06.25</t>
  </si>
  <si>
    <t>24.06.25</t>
  </si>
  <si>
    <t>25.06.25</t>
  </si>
  <si>
    <t>26.06.25</t>
  </si>
  <si>
    <t>27.06.25</t>
  </si>
  <si>
    <t>28.06.25</t>
  </si>
  <si>
    <t>30.06.25</t>
  </si>
  <si>
    <t>considered potential to kkp</t>
  </si>
  <si>
    <t>Trip particulars ( 01.06.2025 to 14.06.2025)</t>
  </si>
  <si>
    <t>AP28TA0116</t>
  </si>
  <si>
    <t>IIL/06/2025-26-002</t>
  </si>
  <si>
    <t>Transportation service for the period of 15.06.2025 to 30.06.2025</t>
  </si>
  <si>
    <t>Trip particulars ( 01.07.2025 to 15.07.2025)</t>
  </si>
  <si>
    <t>01.07.25</t>
  </si>
  <si>
    <t>02.07.25</t>
  </si>
  <si>
    <t>04.07.25</t>
  </si>
  <si>
    <t>07.07.25</t>
  </si>
  <si>
    <t>08.07.25</t>
  </si>
  <si>
    <t>AP15TC5064</t>
  </si>
  <si>
    <t>09.07.25</t>
  </si>
  <si>
    <t>10.07.25</t>
  </si>
  <si>
    <t>11.07.25</t>
  </si>
  <si>
    <t>14.07.25</t>
  </si>
  <si>
    <t>15.07.25</t>
  </si>
  <si>
    <t>IIL/07/2025-26-001</t>
  </si>
  <si>
    <t>Transportation service for the period of 01.07.2025 to 15.07.2025</t>
  </si>
  <si>
    <t>Trip particulars ( 16.07.2025 to 31.07.2025)</t>
  </si>
  <si>
    <t>21.07.25</t>
  </si>
  <si>
    <t>23.07.25</t>
  </si>
  <si>
    <t>25.07.25</t>
  </si>
  <si>
    <t>22.07.25</t>
  </si>
  <si>
    <t>24.07.25</t>
  </si>
  <si>
    <t>AP28TE0092</t>
  </si>
  <si>
    <t>TS15UA2555</t>
  </si>
  <si>
    <t>28.07.25</t>
  </si>
  <si>
    <t>29.07.25</t>
  </si>
  <si>
    <t>AP28TA4481</t>
  </si>
  <si>
    <t>TS08UB3794</t>
  </si>
  <si>
    <t>30.07.25</t>
  </si>
  <si>
    <t>31.07.25</t>
  </si>
  <si>
    <t>16.07.25</t>
  </si>
  <si>
    <t>17.07.25</t>
  </si>
  <si>
    <t>TS12UE2677</t>
  </si>
  <si>
    <t>18.07.25</t>
  </si>
  <si>
    <t>IIL/07/2025-26-002</t>
  </si>
  <si>
    <t>Transportation service for the period of 16.07.2025 to 31.07.2025</t>
  </si>
  <si>
    <t>Trip particulars ( 01.08.2025 to 15.08.2025)</t>
  </si>
  <si>
    <t>01.08.25</t>
  </si>
  <si>
    <t>02.08.25</t>
  </si>
  <si>
    <t>04.08.25</t>
  </si>
  <si>
    <t>05.08.25</t>
  </si>
  <si>
    <t>06.08.25</t>
  </si>
  <si>
    <t>07.08.25</t>
  </si>
  <si>
    <t>08.08.25</t>
  </si>
  <si>
    <t>TG13T2292</t>
  </si>
  <si>
    <t>11.08.25</t>
  </si>
  <si>
    <t>12.08.25</t>
  </si>
  <si>
    <t>13.08.25</t>
  </si>
  <si>
    <t>14.08.25</t>
  </si>
  <si>
    <t>TS15A2555</t>
  </si>
  <si>
    <t>IIL/08/2025-26-001</t>
  </si>
  <si>
    <t>15.08.2025</t>
  </si>
  <si>
    <t>Transportation service for the period of 01.08.2025 to 15.08.2025</t>
  </si>
  <si>
    <t>Trip particulars ( 16.08.2025 to 31.08.2025)</t>
  </si>
  <si>
    <t>18.08.25</t>
  </si>
  <si>
    <t>19.08.25</t>
  </si>
  <si>
    <t>19.09.25</t>
  </si>
  <si>
    <t>TS12UA2677</t>
  </si>
  <si>
    <t>20.08.25</t>
  </si>
  <si>
    <t>21.08.25</t>
  </si>
  <si>
    <t>22.08.25</t>
  </si>
  <si>
    <t>23.08.25</t>
  </si>
  <si>
    <t>25.08.25</t>
  </si>
  <si>
    <t>26.08.25</t>
  </si>
  <si>
    <t>28.08.25</t>
  </si>
  <si>
    <t>29.08.25</t>
  </si>
  <si>
    <t>Trip particulars ( 01.09.2025 to 15.09.2025)</t>
  </si>
  <si>
    <t>Trip particulars ( 16.09.2025 to 30.09.2025)</t>
  </si>
  <si>
    <t>TG12J6078</t>
  </si>
  <si>
    <t>TS12UA0785</t>
  </si>
  <si>
    <t>30.08.25</t>
  </si>
  <si>
    <t>01.09.25</t>
  </si>
  <si>
    <t>TG12T6078</t>
  </si>
  <si>
    <t>TS12VC3024</t>
  </si>
  <si>
    <t>02.09.25</t>
  </si>
  <si>
    <t>Sanzyem</t>
  </si>
  <si>
    <t>Turkapally</t>
  </si>
  <si>
    <t>03.09.25</t>
  </si>
  <si>
    <t>IIL-Gachhibowli</t>
  </si>
  <si>
    <t>04.09.25</t>
  </si>
  <si>
    <t>TS12 VC3024</t>
  </si>
  <si>
    <t>TS12VB2595</t>
  </si>
  <si>
    <t>05.09.25</t>
  </si>
  <si>
    <t>08.09.25</t>
  </si>
  <si>
    <t>TS06UA0781</t>
  </si>
  <si>
    <t>TS06VA3042</t>
  </si>
  <si>
    <t>09.09.25</t>
  </si>
  <si>
    <t>10.09.25</t>
  </si>
  <si>
    <t>11.09.25</t>
  </si>
  <si>
    <t>TS12VC3042</t>
  </si>
  <si>
    <t>25.09.25</t>
  </si>
  <si>
    <t>26.09.25</t>
  </si>
  <si>
    <t>RGIA-Airport</t>
  </si>
  <si>
    <t>29.09.25</t>
  </si>
  <si>
    <t>16.09.26</t>
  </si>
  <si>
    <t>17.09.25</t>
  </si>
  <si>
    <t>18.09.25</t>
  </si>
  <si>
    <t>20.09.25</t>
  </si>
  <si>
    <t>22.09.25</t>
  </si>
  <si>
    <t>23.09.25</t>
  </si>
  <si>
    <t>24.09.25</t>
  </si>
  <si>
    <t>30.09.25</t>
  </si>
  <si>
    <t>IIL/08/2025-26-002</t>
  </si>
  <si>
    <t>Transportation service for the period of 15.08.2025 to 31.08.2025</t>
  </si>
  <si>
    <t>IIL/09/2025-26-001</t>
  </si>
  <si>
    <t>15.09.25</t>
  </si>
  <si>
    <t>Transportation service for the period of 01.09.2025 to 15.09.2025</t>
  </si>
  <si>
    <t>IIL/09/2025-26-002</t>
  </si>
  <si>
    <t>Transportation service for the period of 15.09.2025 to 30.09.2025</t>
  </si>
  <si>
    <t>considered KKP to GCH</t>
  </si>
  <si>
    <t>Bollaram/Potential</t>
  </si>
  <si>
    <t>Trip particulars ( 01.10.2025 to 15.10.2025)</t>
  </si>
  <si>
    <t>03.10.25</t>
  </si>
  <si>
    <t>04.10.25</t>
  </si>
  <si>
    <t>06.10.25</t>
  </si>
  <si>
    <t>07.10.25</t>
  </si>
  <si>
    <t>08.10.25</t>
  </si>
  <si>
    <t>09.10.25</t>
  </si>
  <si>
    <t>TG12UB2595</t>
  </si>
  <si>
    <t>10.10.25</t>
  </si>
  <si>
    <t>11.10.25</t>
  </si>
  <si>
    <t>13.10.25</t>
  </si>
  <si>
    <t>14.10.25</t>
  </si>
  <si>
    <t>15.10.25</t>
  </si>
  <si>
    <t>Trip particulars ( 16.10.2025 to 31.10.2025)</t>
  </si>
  <si>
    <t>16.10.25</t>
  </si>
  <si>
    <t>17.10.25</t>
  </si>
  <si>
    <t>21.10.25</t>
  </si>
  <si>
    <t>22.10.25</t>
  </si>
  <si>
    <t>23.10.25</t>
  </si>
  <si>
    <t>24.10.25</t>
  </si>
  <si>
    <t>27.10.25</t>
  </si>
  <si>
    <t>28.10.25</t>
  </si>
  <si>
    <t>29.10.25</t>
  </si>
  <si>
    <t>SANZYME</t>
  </si>
  <si>
    <t>KKP- Gachibowli rate considered</t>
  </si>
  <si>
    <t>30.10.25</t>
  </si>
  <si>
    <t>Narsing-Ziyaguda</t>
  </si>
  <si>
    <t>Ziyaguda</t>
  </si>
  <si>
    <t>VEHICLE CANCELLED AT THE AFTERNOON</t>
  </si>
  <si>
    <t>31.10.25</t>
  </si>
  <si>
    <t>IIL/10/2025-26-001</t>
  </si>
  <si>
    <t>Transportation service for the period of 01.10.2025 to 15.10.2025</t>
  </si>
  <si>
    <t>IIL/10/2025-26-002</t>
  </si>
  <si>
    <t>Transportation service for the period of 15.10.2025 to 31.10.2025</t>
  </si>
  <si>
    <t>Trip particulars ( 01.12.2025 to 15.12.2025)</t>
  </si>
  <si>
    <t>1.12.25</t>
  </si>
  <si>
    <t>Sainath-Jeedimetla</t>
  </si>
  <si>
    <t>Sanzyme-Turkapally</t>
  </si>
  <si>
    <t>2.12.25</t>
  </si>
  <si>
    <t>3.12.25</t>
  </si>
  <si>
    <t>Sainath-jeedimetla</t>
  </si>
  <si>
    <t>AP22TA0164</t>
  </si>
  <si>
    <t>Considered KKP to Uppal</t>
  </si>
  <si>
    <t>5.12.25</t>
  </si>
  <si>
    <t>6.12.25</t>
  </si>
  <si>
    <t>8.12.25</t>
  </si>
  <si>
    <t>TS02UA1346</t>
  </si>
  <si>
    <t>ICD-Sanathnagar</t>
  </si>
  <si>
    <t>9.12.25</t>
  </si>
  <si>
    <t>10.12.25</t>
  </si>
  <si>
    <t>Sananthnagar</t>
  </si>
  <si>
    <t>11.12.25</t>
  </si>
  <si>
    <t>Sanzyme-Gaganpahad</t>
  </si>
  <si>
    <t>12.12.25</t>
  </si>
  <si>
    <t>15.12.25</t>
  </si>
  <si>
    <t>4.12.25</t>
  </si>
  <si>
    <t>Trip particulars ( 16.12.2025 to 31.12.2025)</t>
  </si>
  <si>
    <t>16.12.25</t>
  </si>
  <si>
    <t>Jiyaguda</t>
  </si>
  <si>
    <t>Narsingi-Gachibowli</t>
  </si>
  <si>
    <t>17.12.25</t>
  </si>
  <si>
    <t>18.12.25</t>
  </si>
  <si>
    <t>19.12.25</t>
  </si>
  <si>
    <t>22.12.25</t>
  </si>
  <si>
    <t>23.12.25</t>
  </si>
  <si>
    <t>24.12.25</t>
  </si>
  <si>
    <t>26.12.25</t>
  </si>
  <si>
    <t>29.12.25</t>
  </si>
  <si>
    <t>SANZYME-TURKAPALLY</t>
  </si>
  <si>
    <t>30.12.25</t>
  </si>
  <si>
    <t>31.12.25</t>
  </si>
  <si>
    <t>Balanagar-Karkapatla</t>
  </si>
  <si>
    <t>IIL-kakapatla/Gachibowli</t>
  </si>
  <si>
    <t>IIL/12/2025-26-001</t>
  </si>
  <si>
    <t>Transportation service for the period of 01.12.2025 to 15.12.2025</t>
  </si>
  <si>
    <t>IIL/12/2025-26-002</t>
  </si>
  <si>
    <t>Transportation service for the period of 15.12.2025 to 31.12.2025</t>
  </si>
  <si>
    <t>Trip particulars ( 01.01.2026 to 15.01.2026)</t>
  </si>
  <si>
    <t>02.01.26</t>
  </si>
  <si>
    <t>05.01.26</t>
  </si>
  <si>
    <t>06.01.26</t>
  </si>
  <si>
    <t>07.01.26</t>
  </si>
  <si>
    <t>08.01.26</t>
  </si>
  <si>
    <t>09.01.26</t>
  </si>
  <si>
    <t>AP28TC0092</t>
  </si>
  <si>
    <t>12.01.26</t>
  </si>
  <si>
    <t>13.01.26</t>
  </si>
  <si>
    <t>14.01.26</t>
  </si>
  <si>
    <t>15.01.26</t>
  </si>
  <si>
    <t>IIL/01/2026-001</t>
  </si>
  <si>
    <t>Transportation service for the period of 01.01.2026 to 15.01.2026</t>
  </si>
  <si>
    <t>April</t>
  </si>
  <si>
    <t>01.4.25</t>
  </si>
  <si>
    <t>10.05.25</t>
  </si>
  <si>
    <t>May</t>
  </si>
  <si>
    <t>01.05.25</t>
  </si>
  <si>
    <t>20.05.25</t>
  </si>
  <si>
    <t>11.05.25</t>
  </si>
  <si>
    <t>31.05.25</t>
  </si>
  <si>
    <t>June</t>
  </si>
  <si>
    <t>01.06.25</t>
  </si>
  <si>
    <t>30.06.26</t>
  </si>
  <si>
    <t>July</t>
  </si>
  <si>
    <t>15.08.25</t>
  </si>
  <si>
    <t>Aug</t>
  </si>
  <si>
    <t>Sept</t>
  </si>
  <si>
    <t>16.08.25</t>
  </si>
  <si>
    <t>31.08.25</t>
  </si>
  <si>
    <t>16.09.25</t>
  </si>
  <si>
    <t>Oct</t>
  </si>
  <si>
    <t>01.10.25</t>
  </si>
  <si>
    <t>IIL/11/2025-26-001</t>
  </si>
  <si>
    <t>15.11.25</t>
  </si>
  <si>
    <t>Nov</t>
  </si>
  <si>
    <t>16.11.25</t>
  </si>
  <si>
    <t>01.11.25</t>
  </si>
  <si>
    <t>IIL/11/2025-26-002</t>
  </si>
  <si>
    <t>30.11.25</t>
  </si>
  <si>
    <t>01.12.25</t>
  </si>
  <si>
    <t>Dec</t>
  </si>
  <si>
    <t>Jan</t>
  </si>
  <si>
    <t>01.01.26</t>
  </si>
  <si>
    <t>IIL/02/2026-001</t>
  </si>
  <si>
    <t>31.01.26</t>
  </si>
  <si>
    <t>16.01.26</t>
  </si>
  <si>
    <t>Payment receipts from IIL</t>
  </si>
  <si>
    <t>12.09.25</t>
  </si>
  <si>
    <t>10.11.25</t>
  </si>
  <si>
    <t>03.12.25</t>
  </si>
  <si>
    <t>23.01.26</t>
  </si>
  <si>
    <t>13.09.25</t>
  </si>
  <si>
    <t>02.02.26</t>
  </si>
  <si>
    <t>Trip particulars ( 15.01.2026 to 31.01.2026)</t>
  </si>
  <si>
    <t>19.01.26</t>
  </si>
  <si>
    <t>20.01.26</t>
  </si>
  <si>
    <t>SAINATH-JEEDIMETLA</t>
  </si>
  <si>
    <t>21.01.26</t>
  </si>
  <si>
    <t>22.01.26</t>
  </si>
  <si>
    <t>T12UB2595</t>
  </si>
  <si>
    <t>24.01.26</t>
  </si>
  <si>
    <t>27.01.26</t>
  </si>
  <si>
    <t>28.01.26</t>
  </si>
  <si>
    <t>29.01.26</t>
  </si>
  <si>
    <t>SANANTHNAGR</t>
  </si>
  <si>
    <t>30.01.26</t>
  </si>
  <si>
    <t>TS05UA2555</t>
  </si>
  <si>
    <t>TS12UE4374</t>
  </si>
  <si>
    <t>IIL/02/2026-002</t>
  </si>
  <si>
    <t>Transportation service for the period of 15.01.2026 to 31.01.2026</t>
  </si>
  <si>
    <t>Trip particulars ( 01.02.2026 to 15.02.2026)</t>
  </si>
  <si>
    <t>03.02.26</t>
  </si>
  <si>
    <t>04.02.26</t>
  </si>
  <si>
    <t>Saintha-Jeedimetla</t>
  </si>
  <si>
    <t>ARC-Balanagar</t>
  </si>
  <si>
    <t>05.02.26</t>
  </si>
  <si>
    <t>06.02.26</t>
  </si>
  <si>
    <t>TS02UA1342</t>
  </si>
  <si>
    <t>AP28TA6608</t>
  </si>
  <si>
    <t>09.02.26</t>
  </si>
  <si>
    <t>10.02.26</t>
  </si>
  <si>
    <t>11.02.26</t>
  </si>
  <si>
    <t>12.02.26</t>
  </si>
  <si>
    <t>IDA-bollaram</t>
  </si>
  <si>
    <t>13.02.26</t>
  </si>
  <si>
    <t>Trip particulars ( 16.02.2026 to 28.02.2026)</t>
  </si>
  <si>
    <t>16.02.26</t>
  </si>
  <si>
    <t>18.02.26</t>
  </si>
  <si>
    <t>15.02.26</t>
  </si>
  <si>
    <t>Transportation service for the period of 01.02.2026 to 15.02.2026</t>
  </si>
  <si>
    <t>19.02.26</t>
  </si>
  <si>
    <t>20.02.26</t>
  </si>
  <si>
    <t>23.02.26</t>
  </si>
  <si>
    <t>24.02.26</t>
  </si>
  <si>
    <t>ARC Transport Medchal</t>
  </si>
  <si>
    <t>25.02.26</t>
  </si>
  <si>
    <t>26.02.26</t>
  </si>
  <si>
    <t>27.02.26</t>
  </si>
  <si>
    <t>Turkapalli</t>
  </si>
  <si>
    <t>AP29TB9031</t>
  </si>
  <si>
    <t>Utrans Kandlakoy</t>
  </si>
  <si>
    <t>TS12UC3043</t>
  </si>
  <si>
    <t>TS12UC3044</t>
  </si>
  <si>
    <t>28.02.26</t>
  </si>
  <si>
    <t>Transportation service for the period of 16.02.2026 to 28.02.2026</t>
  </si>
  <si>
    <t>IIL/03/2026-001</t>
  </si>
  <si>
    <t>15.03.26</t>
  </si>
  <si>
    <t>Transportation service for the period of 01.03.2026 to 15.03.2026</t>
  </si>
  <si>
    <t>The recipient is liable to pay GST under reverse charge mechanism as per notification no.13/2017 – Central Tax ( Rate) dated 28th June 2017</t>
  </si>
  <si>
    <t>02.03.26</t>
  </si>
  <si>
    <t>03.03.26</t>
  </si>
  <si>
    <t>05.03.26</t>
  </si>
  <si>
    <t>06.03.26</t>
  </si>
  <si>
    <t>09.03.26</t>
  </si>
  <si>
    <t>10.03.26</t>
  </si>
  <si>
    <t>11.03.26</t>
  </si>
  <si>
    <t>12.03.26</t>
  </si>
  <si>
    <t>13.03.26</t>
  </si>
  <si>
    <t>RGI Airport</t>
  </si>
  <si>
    <t>Trip particulars ( 01.03.2026 to 13.03.2026)</t>
  </si>
  <si>
    <t>16.03.26</t>
  </si>
  <si>
    <t>BIO CHEMICHAL SANATHNAGAR</t>
  </si>
  <si>
    <t>17.03.26</t>
  </si>
  <si>
    <t>18.03.26</t>
  </si>
  <si>
    <t>19.03.26</t>
  </si>
  <si>
    <t>23.03.26</t>
  </si>
  <si>
    <t>24.03.26</t>
  </si>
  <si>
    <t>25.03.26</t>
  </si>
  <si>
    <t>26.03.26</t>
  </si>
  <si>
    <t>27.03.26</t>
  </si>
  <si>
    <t>28.03.26</t>
  </si>
  <si>
    <t>TS08T8450</t>
  </si>
  <si>
    <t>TS12T6078</t>
  </si>
  <si>
    <t>IIL/03/2026-002</t>
  </si>
  <si>
    <t>31.03.26</t>
  </si>
  <si>
    <t>Trip particulars ( 16.03.2026 to 31.03.2026)</t>
  </si>
  <si>
    <t>30.03.26</t>
  </si>
  <si>
    <t>02.04.26</t>
  </si>
  <si>
    <t>06.04.26</t>
  </si>
  <si>
    <t>07.04.26</t>
  </si>
  <si>
    <t>09.04.26</t>
  </si>
  <si>
    <t>10.04.26</t>
  </si>
  <si>
    <t>11.04.26</t>
  </si>
  <si>
    <t>13.04.26</t>
  </si>
  <si>
    <t>14.04.26</t>
  </si>
  <si>
    <t>03.04.26</t>
  </si>
  <si>
    <t>Trip particulars ( 01.04.2026 to 15.04.2026)</t>
  </si>
  <si>
    <t>08.12.25</t>
  </si>
  <si>
    <t>IIL/04/2026-001</t>
  </si>
  <si>
    <t>15.04.26</t>
  </si>
  <si>
    <t>Transportation service for the period of 01.04.2026 to 15.04.2026</t>
  </si>
  <si>
    <t>Traffic Chalans ( 08.12.2026 to 02.04.2026)</t>
  </si>
  <si>
    <r>
      <rPr>
        <b/>
        <sz val="14"/>
        <color theme="1"/>
        <rFont val="Aptos Narrow"/>
        <family val="2"/>
        <scheme val="minor"/>
      </rPr>
      <t>Total freight (Including Chalans</t>
    </r>
    <r>
      <rPr>
        <sz val="14"/>
        <color theme="1"/>
        <rFont val="Aptos Narrow"/>
        <family val="2"/>
        <scheme val="minor"/>
      </rPr>
      <t>): 262,370</t>
    </r>
  </si>
  <si>
    <t>16/04/2026</t>
  </si>
  <si>
    <t>20/04/2026</t>
  </si>
  <si>
    <t>23/04/2026</t>
  </si>
  <si>
    <t>24/04/2026</t>
  </si>
  <si>
    <t>25/04/2026</t>
  </si>
  <si>
    <t>28/04/2026</t>
  </si>
  <si>
    <t>29/04/2026</t>
  </si>
  <si>
    <t>30/04/2026</t>
  </si>
  <si>
    <t/>
  </si>
  <si>
    <t>Trip particulars ( 06.04.2026 to 30.04.2026)</t>
  </si>
  <si>
    <t>30.04.26</t>
  </si>
  <si>
    <t>IIL/04/2026-002</t>
  </si>
  <si>
    <t>Transportation service for the period of 06.04.2026 to 30.04.2026</t>
  </si>
  <si>
    <t>Chargeable Weight (MT)</t>
  </si>
  <si>
    <t>Total Freight</t>
  </si>
  <si>
    <t>05/05/2026</t>
  </si>
  <si>
    <t>08/05/2026</t>
  </si>
  <si>
    <t>12/05/2026</t>
  </si>
  <si>
    <t>14/05/2026</t>
  </si>
  <si>
    <t>15/05/2026</t>
  </si>
  <si>
    <t>18/05/2026</t>
  </si>
  <si>
    <t>IDA-Bolarum</t>
  </si>
  <si>
    <t>19/05/2026</t>
  </si>
  <si>
    <t>Surya Agencies SanathNagar</t>
  </si>
  <si>
    <t>20/05/2026</t>
  </si>
  <si>
    <t>22/05/2026</t>
  </si>
  <si>
    <t>25/05/2026</t>
  </si>
  <si>
    <t>26/05/2026</t>
  </si>
  <si>
    <t>27/05/2026</t>
  </si>
  <si>
    <t>IIL-TURKAPALLY</t>
  </si>
  <si>
    <t>TS08UA7331</t>
  </si>
  <si>
    <t>29/05/2026</t>
  </si>
  <si>
    <t>Bio Chemical Synthetic</t>
  </si>
  <si>
    <t>TOTAL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</si>
  <si>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</si>
  <si>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</si>
  <si>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</si>
  <si>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</si>
  <si>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</si>
  <si>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</si>
  <si>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</si>
  <si>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11/06/2026</t>
  </si>
  <si>
    <t>12/06/2026</t>
  </si>
  <si>
    <t>15/06/2026</t>
  </si>
  <si>
    <t>16/06/2026</t>
  </si>
  <si>
    <t>17/06/2026</t>
  </si>
  <si>
    <t>TG08X1202</t>
  </si>
  <si>
    <t>18/06/2026</t>
  </si>
  <si>
    <t>19/06/2026</t>
  </si>
  <si>
    <t>21/06/2026</t>
  </si>
  <si>
    <t>22/06/2026</t>
  </si>
  <si>
    <t>23/06/2026</t>
  </si>
  <si>
    <t>24/06/2026</t>
  </si>
  <si>
    <t>25/06/2026</t>
  </si>
  <si>
    <t>TS02UA1340</t>
  </si>
  <si>
    <t>26/06/2026</t>
  </si>
  <si>
    <t>29/06/2026</t>
  </si>
  <si>
    <t>30/06/2026</t>
  </si>
  <si>
    <t>Trip particulars ( 01.05.2026 to 29.05.2026)</t>
  </si>
  <si>
    <t>Trip particulars ( 01.06.2026 to 30.06.2026)</t>
  </si>
  <si>
    <t>IIL/05/2026-001</t>
  </si>
  <si>
    <t>30.05.26</t>
  </si>
  <si>
    <t>Add: CGST @9%</t>
  </si>
  <si>
    <t>Add: SGST @9%</t>
  </si>
  <si>
    <t>Transportation service for the period of 01.05.2026 to 30.05.2026</t>
  </si>
  <si>
    <t>IIL/06/2026-001</t>
  </si>
  <si>
    <t>Transportation service for the period of 01.06.2026 to 30.06.2026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</si>
  <si>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</si>
  <si>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</si>
  <si>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</si>
  <si>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</si>
  <si>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</si>
  <si>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</si>
  <si>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</si>
  <si>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</si>
  <si>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</si>
  <si>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</si>
  <si>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</si>
  <si>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Nampally Railway station</t>
  </si>
  <si>
    <t>TG08X1201</t>
  </si>
  <si>
    <t>Trip particulars ( 01.07.2026 to 15.07.2026)</t>
  </si>
  <si>
    <t>Transportation service for the period of 01.07.2026 to 15.07.2026</t>
  </si>
  <si>
    <t>IIL/07/2026-001</t>
  </si>
  <si>
    <t>20.07.26</t>
  </si>
  <si>
    <t>16/07/2026</t>
  </si>
  <si>
    <t>17/07/2026</t>
  </si>
  <si>
    <t>Jiaguda Goshala</t>
  </si>
  <si>
    <t>18/07/2026</t>
  </si>
  <si>
    <t>20/07/2026</t>
  </si>
  <si>
    <t>21/07/2026</t>
  </si>
  <si>
    <t>22/07/2026</t>
  </si>
  <si>
    <t>24/07/2026</t>
  </si>
  <si>
    <t>27/07/2026</t>
  </si>
  <si>
    <t>29/07/2026</t>
  </si>
  <si>
    <t>30/07/2026</t>
  </si>
  <si>
    <t>IIL/07/2026-002</t>
  </si>
  <si>
    <t>Transportation service for the period of 16.07.2026 to 30.07.2026</t>
  </si>
  <si>
    <t>Trip particulars ( 16.07.2026 to 31.07.2026)</t>
  </si>
  <si>
    <t>17/07/2027</t>
  </si>
  <si>
    <t>Chalan</t>
  </si>
  <si>
    <t>30.07.26</t>
  </si>
  <si>
    <t>Trip particulars ( 01.08.2026 to 15.08.2026)</t>
  </si>
  <si>
    <t>03/08/2026</t>
  </si>
  <si>
    <t>TG08X 1202</t>
  </si>
  <si>
    <t>Priya Feeds Cherlapally</t>
  </si>
  <si>
    <t>04/08/2026</t>
  </si>
  <si>
    <t>05/08/2026</t>
  </si>
  <si>
    <t>06/08/2026</t>
  </si>
  <si>
    <t>07/08/2026</t>
  </si>
  <si>
    <t>10/08/2026</t>
  </si>
  <si>
    <t>11/08/2026</t>
  </si>
  <si>
    <t>TG08X 1201</t>
  </si>
  <si>
    <t>12/08/2026</t>
  </si>
  <si>
    <t>13/08/2026</t>
  </si>
  <si>
    <t>TG 08X 1201</t>
  </si>
  <si>
    <t>IIL/08/2026-001</t>
  </si>
  <si>
    <t>Transportation service for the period of 01.08.2026 to 15.08.2026</t>
  </si>
  <si>
    <t>15.08.26</t>
  </si>
  <si>
    <t>14/08/2026</t>
  </si>
  <si>
    <t>18/08/2026</t>
  </si>
  <si>
    <t>TG 08X 1202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</si>
  <si>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</si>
  <si>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</si>
  <si>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</si>
  <si>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</si>
  <si>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</si>
  <si>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</si>
  <si>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</si>
  <si>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</si>
  <si>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</si>
  <si>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TS 08H 7331</t>
  </si>
  <si>
    <t>TS 08UL 1586</t>
  </si>
  <si>
    <t>IIL/08/2026-002</t>
  </si>
  <si>
    <t>31.08.26</t>
  </si>
  <si>
    <t>Transportation service for the period of 16.08.2026 to 31.08.2026</t>
  </si>
  <si>
    <t>Trip particulars ( 16.08.2026 to 31.08.2026)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</si>
</sst>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dd\/mm\/yyyy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vertAlign val="superscript"/>
      <sz val="10"/>
      <color rgb="FF000000"/>
      <name val="Aptos"/>
      <family val="2"/>
    </font>
    <font>
      <sz val="10"/>
      <color rgb="FF000000"/>
      <name val="Aptos"/>
      <family val="2"/>
    </font>
    <font>
      <sz val="11"/>
      <color theme="1"/>
      <name val="Aptos Narrow"/>
      <family val="2"/>
      <scheme val="minor"/>
    </font>
    <font>
      <b/>
      <sz val="10"/>
      <name val="Apto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charset val="1"/>
    </font>
    <font>
      <b/>
      <sz val="10"/>
      <name val="Aptos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11"/>
      <name val="Calibri"/>
      <charset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  <bgColor rgb="FFDEF7EC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0" fillId="0" borderId="0"/>
  </cellStyleXfs>
  <cellXfs count="17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3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1" fillId="0" borderId="20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0" borderId="26" xfId="0" applyFont="1" applyBorder="1"/>
    <xf numFmtId="0" fontId="0" fillId="0" borderId="27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3" xfId="0" applyFont="1" applyBorder="1"/>
    <xf numFmtId="9" fontId="0" fillId="0" borderId="6" xfId="0" applyNumberFormat="1" applyBorder="1"/>
    <xf numFmtId="0" fontId="0" fillId="0" borderId="12" xfId="0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vertical="top" wrapText="1"/>
    </xf>
    <xf numFmtId="1" fontId="0" fillId="2" borderId="1" xfId="0" applyNumberFormat="1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9" fontId="0" fillId="0" borderId="0" xfId="1" applyFont="1" applyFill="1"/>
    <xf numFmtId="9" fontId="1" fillId="0" borderId="0" xfId="1" applyFont="1" applyFill="1"/>
    <xf numFmtId="0" fontId="1" fillId="0" borderId="28" xfId="0" applyFont="1" applyBorder="1"/>
    <xf numFmtId="0" fontId="0" fillId="0" borderId="28" xfId="0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1" fontId="0" fillId="0" borderId="1" xfId="0" applyNumberFormat="1" applyBorder="1"/>
    <xf numFmtId="0" fontId="9" fillId="0" borderId="0" xfId="0" applyFont="1"/>
    <xf numFmtId="0" fontId="10" fillId="0" borderId="0" xfId="0" applyFont="1"/>
    <xf numFmtId="0" fontId="10" fillId="2" borderId="0" xfId="0" applyFont="1" applyFill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0" fillId="0" borderId="1" xfId="0" applyFont="1" applyBorder="1"/>
    <xf numFmtId="1" fontId="10" fillId="2" borderId="1" xfId="0" applyNumberFormat="1" applyFont="1" applyFill="1" applyBorder="1"/>
    <xf numFmtId="0" fontId="10" fillId="2" borderId="1" xfId="0" applyFont="1" applyFill="1" applyBorder="1"/>
    <xf numFmtId="0" fontId="9" fillId="0" borderId="13" xfId="0" applyFont="1" applyBorder="1"/>
    <xf numFmtId="0" fontId="9" fillId="0" borderId="28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1" applyFont="1" applyBorder="1"/>
    <xf numFmtId="9" fontId="0" fillId="0" borderId="13" xfId="1" applyFont="1" applyFill="1" applyBorder="1"/>
    <xf numFmtId="0" fontId="0" fillId="3" borderId="1" xfId="0" applyFill="1" applyBorder="1"/>
    <xf numFmtId="0" fontId="0" fillId="3" borderId="3" xfId="0" applyFill="1" applyBorder="1"/>
    <xf numFmtId="10" fontId="0" fillId="0" borderId="0" xfId="1" applyNumberFormat="1" applyFont="1"/>
    <xf numFmtId="164" fontId="0" fillId="0" borderId="0" xfId="1" applyNumberFormat="1" applyFont="1"/>
    <xf numFmtId="1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15" fillId="0" borderId="1" xfId="0" applyFont="1" applyBorder="1"/>
    <xf numFmtId="0" fontId="15" fillId="0" borderId="12" xfId="0" applyFont="1" applyBorder="1"/>
    <xf numFmtId="0" fontId="15" fillId="0" borderId="11" xfId="0" applyFont="1" applyBorder="1"/>
    <xf numFmtId="0" fontId="15" fillId="0" borderId="20" xfId="0" applyFont="1" applyBorder="1"/>
    <xf numFmtId="0" fontId="15" fillId="0" borderId="28" xfId="0" applyFont="1" applyBorder="1"/>
    <xf numFmtId="0" fontId="15" fillId="0" borderId="0" xfId="0" applyFont="1"/>
    <xf numFmtId="0" fontId="15" fillId="0" borderId="26" xfId="0" applyFont="1" applyBorder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5" fillId="0" borderId="13" xfId="0" applyFont="1" applyBorder="1"/>
    <xf numFmtId="0" fontId="17" fillId="6" borderId="0" xfId="0" applyFont="1" applyFill="1" applyAlignment="1">
      <alignment horizontal="center" vertical="center"/>
    </xf>
    <xf numFmtId="0" fontId="19" fillId="0" borderId="0" xfId="0" applyFont="1"/>
    <xf numFmtId="0" fontId="0" fillId="0" borderId="18" xfId="0" applyBorder="1" applyAlignment="1">
      <alignment horizontal="center"/>
    </xf>
    <xf numFmtId="0" fontId="20" fillId="0" borderId="1" xfId="2" applyBorder="1"/>
    <xf numFmtId="0" fontId="0" fillId="0" borderId="45" xfId="0" applyBorder="1"/>
    <xf numFmtId="0" fontId="0" fillId="0" borderId="46" xfId="0" applyBorder="1"/>
    <xf numFmtId="0" fontId="15" fillId="0" borderId="5" xfId="0" applyFont="1" applyBorder="1"/>
    <xf numFmtId="0" fontId="15" fillId="0" borderId="10" xfId="0" applyFont="1" applyBorder="1"/>
    <xf numFmtId="0" fontId="0" fillId="0" borderId="12" xfId="0" applyBorder="1"/>
    <xf numFmtId="0" fontId="0" fillId="0" borderId="48" xfId="0" applyBorder="1"/>
    <xf numFmtId="0" fontId="0" fillId="0" borderId="47" xfId="0" applyBorder="1" applyAlignment="1">
      <alignment horizontal="center"/>
    </xf>
    <xf numFmtId="0" fontId="15" fillId="0" borderId="35" xfId="0" applyFont="1" applyBorder="1"/>
    <xf numFmtId="0" fontId="20" fillId="0" borderId="7" xfId="2" applyBorder="1"/>
    <xf numFmtId="0" fontId="20" fillId="0" borderId="8" xfId="2" applyBorder="1"/>
    <xf numFmtId="0" fontId="20" fillId="0" borderId="9" xfId="2" applyBorder="1"/>
    <xf numFmtId="165" fontId="0" fillId="0" borderId="1" xfId="0" applyNumberFormat="1" applyBorder="1"/>
    <xf numFmtId="0" fontId="15" fillId="0" borderId="4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4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47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3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3" xfId="0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6" fillId="0" borderId="20" xfId="0" applyFont="1" applyBorder="1" applyAlignment="1">
      <alignment horizontal="left" vertical="top" wrapText="1"/>
    </xf>
    <xf numFmtId="0" fontId="12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left" vertical="top" wrapText="1"/>
    </xf>
    <xf numFmtId="0" fontId="16" fillId="0" borderId="22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</cellXfs>
  <cellStyles count="3">
    <cellStyle name="Normal" xfId="0" builtinId="0"/>
    <cellStyle name="Normal 2" xfId="2" xr:uid="{84366BEE-FA8E-4F8F-8837-14B0C7C7DCB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dhakar Goud" id="{F6BE718A-CC15-4140-A6A7-8234C1A80FA1}" userId="S::sudhakarg@indimmune.com::651faf82-385f-4110-97c0-a2589970a18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5-04-11T08:00:26.51" personId="{F6BE718A-CC15-4140-A6A7-8234C1A80FA1}" id="{B61A392D-B8F9-424F-9534-F766F29B7E40}">
    <text>Considered rate as ALEAP to KKP</text>
  </threadedComment>
  <threadedComment ref="K10" dT="2025-04-11T08:07:32.52" personId="{F6BE718A-CC15-4140-A6A7-8234C1A80FA1}" id="{F2D9BDF4-3CA4-411C-81A9-08731737AF46}">
    <text>Considered KKP to Gachibowli rates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832D-6541-4778-8722-7B2A69D0FFF4}">
  <dimension ref="A3:M76"/>
  <sheetViews>
    <sheetView showGridLines="0" topLeftCell="A48" zoomScale="67" zoomScaleNormal="67" workbookViewId="0">
      <selection activeCell="A48" sqref="A48:B60"/>
    </sheetView>
  </sheetViews>
  <sheetFormatPr defaultRowHeight="14.4" x14ac:dyDescent="0.3"/>
  <cols>
    <col min="1" max="1" width="30.33203125" bestFit="1" customWidth="1"/>
    <col min="2" max="2" width="9.88671875" bestFit="1" customWidth="1"/>
    <col min="4" max="4" width="14.77734375" bestFit="1" customWidth="1"/>
    <col min="5" max="5" width="9.88671875" bestFit="1" customWidth="1"/>
    <col min="8" max="8" width="12.77734375" bestFit="1" customWidth="1"/>
    <col min="9" max="9" width="15" bestFit="1" customWidth="1"/>
  </cols>
  <sheetData>
    <row r="3" spans="1:11" x14ac:dyDescent="0.3">
      <c r="A3" s="8" t="s">
        <v>150</v>
      </c>
    </row>
    <row r="4" spans="1:11" x14ac:dyDescent="0.3">
      <c r="A4" s="9" t="s">
        <v>149</v>
      </c>
      <c r="B4" s="9" t="s">
        <v>151</v>
      </c>
      <c r="C4" s="9" t="s">
        <v>154</v>
      </c>
      <c r="D4" s="9" t="s">
        <v>152</v>
      </c>
      <c r="E4" s="9" t="s">
        <v>153</v>
      </c>
      <c r="F4" s="9" t="s">
        <v>8</v>
      </c>
      <c r="G4" s="9" t="s">
        <v>36</v>
      </c>
      <c r="H4" s="9" t="s">
        <v>10</v>
      </c>
      <c r="I4" s="9" t="s">
        <v>155</v>
      </c>
      <c r="J4" s="9" t="s">
        <v>26</v>
      </c>
      <c r="K4" s="9" t="s">
        <v>38</v>
      </c>
    </row>
    <row r="5" spans="1:11" x14ac:dyDescent="0.3">
      <c r="A5" s="10" t="s">
        <v>157</v>
      </c>
      <c r="B5" s="10"/>
      <c r="C5" s="10"/>
      <c r="D5" s="10" t="s">
        <v>174</v>
      </c>
      <c r="E5" s="10" t="s">
        <v>108</v>
      </c>
      <c r="F5" s="10"/>
      <c r="G5" s="10"/>
      <c r="H5" s="10">
        <v>340800</v>
      </c>
      <c r="I5" s="10">
        <v>340800</v>
      </c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21" spans="1:11" x14ac:dyDescent="0.3">
      <c r="A21" s="8" t="s">
        <v>156</v>
      </c>
    </row>
    <row r="22" spans="1:11" x14ac:dyDescent="0.3">
      <c r="A22" s="9" t="s">
        <v>149</v>
      </c>
      <c r="B22" s="9" t="s">
        <v>151</v>
      </c>
      <c r="C22" s="9" t="s">
        <v>154</v>
      </c>
      <c r="D22" s="9" t="s">
        <v>152</v>
      </c>
      <c r="E22" s="9" t="s">
        <v>153</v>
      </c>
      <c r="F22" s="9" t="s">
        <v>8</v>
      </c>
      <c r="G22" s="9" t="s">
        <v>36</v>
      </c>
      <c r="H22" s="9" t="s">
        <v>10</v>
      </c>
      <c r="I22" s="9" t="s">
        <v>155</v>
      </c>
      <c r="J22" s="9" t="s">
        <v>26</v>
      </c>
      <c r="K22" s="9" t="s">
        <v>38</v>
      </c>
    </row>
    <row r="23" spans="1:11" x14ac:dyDescent="0.3">
      <c r="A23" s="14" t="s">
        <v>15</v>
      </c>
      <c r="B23" t="s">
        <v>14</v>
      </c>
      <c r="C23" s="10" t="s">
        <v>412</v>
      </c>
      <c r="D23" s="10" t="s">
        <v>413</v>
      </c>
      <c r="E23" s="10" t="s">
        <v>85</v>
      </c>
      <c r="F23" s="10">
        <v>134600</v>
      </c>
      <c r="G23" s="10">
        <v>58800</v>
      </c>
      <c r="H23" s="10">
        <f t="shared" ref="H23:H32" si="0">G23+F23</f>
        <v>193400</v>
      </c>
      <c r="I23" s="10"/>
      <c r="J23" s="10"/>
      <c r="K23" s="10"/>
    </row>
    <row r="24" spans="1:11" x14ac:dyDescent="0.3">
      <c r="A24" s="14" t="s">
        <v>107</v>
      </c>
      <c r="B24" s="10" t="s">
        <v>103</v>
      </c>
      <c r="C24" s="10" t="s">
        <v>412</v>
      </c>
      <c r="D24" s="10" t="s">
        <v>89</v>
      </c>
      <c r="E24" s="10" t="s">
        <v>103</v>
      </c>
      <c r="F24" s="10">
        <v>165800</v>
      </c>
      <c r="G24" s="10">
        <v>84000</v>
      </c>
      <c r="H24" s="10">
        <f t="shared" si="0"/>
        <v>249800</v>
      </c>
      <c r="I24" s="10"/>
      <c r="J24" s="10"/>
      <c r="K24" s="10"/>
    </row>
    <row r="25" spans="1:11" x14ac:dyDescent="0.3">
      <c r="A25" s="14" t="s">
        <v>120</v>
      </c>
      <c r="B25" s="10" t="s">
        <v>414</v>
      </c>
      <c r="C25" s="10" t="s">
        <v>415</v>
      </c>
      <c r="D25" s="10" t="s">
        <v>416</v>
      </c>
      <c r="E25" s="10" t="s">
        <v>414</v>
      </c>
      <c r="F25" s="10">
        <v>138700</v>
      </c>
      <c r="G25" s="10">
        <v>63600</v>
      </c>
      <c r="H25" s="10">
        <f t="shared" si="0"/>
        <v>202300</v>
      </c>
      <c r="I25" s="10"/>
      <c r="J25" s="10"/>
      <c r="K25" s="10"/>
    </row>
    <row r="26" spans="1:11" x14ac:dyDescent="0.3">
      <c r="A26" s="14" t="s">
        <v>133</v>
      </c>
      <c r="B26" s="10" t="s">
        <v>417</v>
      </c>
      <c r="C26" s="10" t="s">
        <v>415</v>
      </c>
      <c r="D26" s="10" t="s">
        <v>418</v>
      </c>
      <c r="E26" s="10" t="s">
        <v>417</v>
      </c>
      <c r="F26" s="10">
        <v>108300</v>
      </c>
      <c r="G26" s="10">
        <v>44400</v>
      </c>
      <c r="H26" s="10">
        <f t="shared" si="0"/>
        <v>152700</v>
      </c>
      <c r="I26" s="10"/>
      <c r="J26" s="10"/>
      <c r="K26" s="10"/>
    </row>
    <row r="27" spans="1:11" x14ac:dyDescent="0.3">
      <c r="A27" s="14" t="s">
        <v>160</v>
      </c>
      <c r="B27" s="10" t="s">
        <v>419</v>
      </c>
      <c r="C27" s="10" t="s">
        <v>415</v>
      </c>
      <c r="D27" s="10" t="s">
        <v>136</v>
      </c>
      <c r="E27" s="10" t="s">
        <v>419</v>
      </c>
      <c r="F27" s="10">
        <v>165900</v>
      </c>
      <c r="G27" s="10">
        <v>76800</v>
      </c>
      <c r="H27" s="10">
        <f t="shared" si="0"/>
        <v>242700</v>
      </c>
      <c r="I27" s="10"/>
      <c r="J27" s="10"/>
      <c r="K27" s="10"/>
    </row>
    <row r="28" spans="1:11" x14ac:dyDescent="0.3">
      <c r="A28" s="14" t="s">
        <v>191</v>
      </c>
      <c r="B28" s="10" t="s">
        <v>192</v>
      </c>
      <c r="C28" s="10" t="s">
        <v>420</v>
      </c>
      <c r="D28" s="10" t="s">
        <v>421</v>
      </c>
      <c r="E28" s="10" t="s">
        <v>190</v>
      </c>
      <c r="F28" s="10">
        <v>192600</v>
      </c>
      <c r="G28" s="10">
        <v>93600</v>
      </c>
      <c r="H28" s="10">
        <f t="shared" si="0"/>
        <v>286200</v>
      </c>
      <c r="I28" s="10"/>
      <c r="J28" s="10"/>
      <c r="K28" s="10"/>
    </row>
    <row r="29" spans="1:11" x14ac:dyDescent="0.3">
      <c r="A29" s="14" t="s">
        <v>210</v>
      </c>
      <c r="B29" s="10" t="s">
        <v>422</v>
      </c>
      <c r="C29" s="10" t="s">
        <v>420</v>
      </c>
      <c r="D29" s="10" t="s">
        <v>192</v>
      </c>
      <c r="E29" s="10" t="s">
        <v>206</v>
      </c>
      <c r="F29" s="10">
        <v>255300</v>
      </c>
      <c r="G29" s="10">
        <v>126000</v>
      </c>
      <c r="H29" s="10">
        <f t="shared" si="0"/>
        <v>381300</v>
      </c>
      <c r="I29" s="10"/>
      <c r="J29" s="10"/>
      <c r="K29" s="10"/>
    </row>
    <row r="30" spans="1:11" x14ac:dyDescent="0.3">
      <c r="A30" s="14" t="s">
        <v>224</v>
      </c>
      <c r="B30" s="10" t="s">
        <v>223</v>
      </c>
      <c r="C30" s="10" t="s">
        <v>423</v>
      </c>
      <c r="D30" s="10" t="s">
        <v>213</v>
      </c>
      <c r="E30" s="10" t="s">
        <v>223</v>
      </c>
      <c r="F30" s="10">
        <v>231800</v>
      </c>
      <c r="G30" s="10">
        <v>105600</v>
      </c>
      <c r="H30" s="10">
        <f t="shared" si="0"/>
        <v>337400</v>
      </c>
      <c r="I30" s="10"/>
      <c r="J30" s="10"/>
      <c r="K30" s="10"/>
    </row>
    <row r="31" spans="1:11" x14ac:dyDescent="0.3">
      <c r="A31" s="14" t="s">
        <v>244</v>
      </c>
      <c r="B31" s="10" t="s">
        <v>239</v>
      </c>
      <c r="C31" s="10" t="s">
        <v>423</v>
      </c>
      <c r="D31" s="10" t="s">
        <v>240</v>
      </c>
      <c r="E31" s="10" t="s">
        <v>239</v>
      </c>
      <c r="F31" s="10">
        <v>330600</v>
      </c>
      <c r="G31" s="10">
        <v>148600</v>
      </c>
      <c r="H31" s="10">
        <f t="shared" si="0"/>
        <v>479200</v>
      </c>
      <c r="I31" s="10"/>
      <c r="J31" s="10"/>
      <c r="K31" s="10"/>
    </row>
    <row r="32" spans="1:11" x14ac:dyDescent="0.3">
      <c r="A32" s="14" t="s">
        <v>260</v>
      </c>
      <c r="B32" s="10" t="s">
        <v>424</v>
      </c>
      <c r="C32" s="10" t="s">
        <v>425</v>
      </c>
      <c r="D32" s="10" t="s">
        <v>247</v>
      </c>
      <c r="E32" s="10" t="s">
        <v>424</v>
      </c>
      <c r="F32" s="10">
        <v>251700</v>
      </c>
      <c r="G32" s="10">
        <v>113600</v>
      </c>
      <c r="H32" s="10">
        <f t="shared" si="0"/>
        <v>365300</v>
      </c>
      <c r="I32" s="10"/>
      <c r="J32" s="10"/>
      <c r="K32" s="10"/>
    </row>
    <row r="33" spans="1:11" x14ac:dyDescent="0.3">
      <c r="A33" s="67" t="s">
        <v>312</v>
      </c>
      <c r="B33" s="66" t="s">
        <v>281</v>
      </c>
      <c r="C33" s="66" t="s">
        <v>426</v>
      </c>
      <c r="D33" s="66" t="s">
        <v>427</v>
      </c>
      <c r="E33" s="66" t="s">
        <v>428</v>
      </c>
      <c r="F33" s="66">
        <v>400400</v>
      </c>
      <c r="G33" s="66">
        <v>188800</v>
      </c>
      <c r="H33" s="66">
        <v>588000</v>
      </c>
      <c r="I33" s="10">
        <v>588000</v>
      </c>
      <c r="J33" s="10"/>
      <c r="K33" s="10"/>
    </row>
    <row r="34" spans="1:11" x14ac:dyDescent="0.3">
      <c r="A34" s="67" t="s">
        <v>314</v>
      </c>
      <c r="B34" s="66" t="s">
        <v>315</v>
      </c>
      <c r="C34" s="66" t="s">
        <v>426</v>
      </c>
      <c r="D34" s="66" t="s">
        <v>281</v>
      </c>
      <c r="E34" s="66" t="s">
        <v>315</v>
      </c>
      <c r="F34" s="66">
        <v>306600</v>
      </c>
      <c r="G34" s="66">
        <v>144000</v>
      </c>
      <c r="H34" s="66">
        <v>440902</v>
      </c>
      <c r="I34" s="10">
        <v>440902</v>
      </c>
      <c r="J34" s="10"/>
      <c r="K34" s="10"/>
    </row>
    <row r="35" spans="1:11" x14ac:dyDescent="0.3">
      <c r="A35" s="67" t="s">
        <v>317</v>
      </c>
      <c r="B35" s="66" t="s">
        <v>311</v>
      </c>
      <c r="C35" s="66" t="s">
        <v>426</v>
      </c>
      <c r="D35" s="66" t="s">
        <v>429</v>
      </c>
      <c r="E35" s="66" t="s">
        <v>311</v>
      </c>
      <c r="F35" s="66">
        <v>313000</v>
      </c>
      <c r="G35" s="66">
        <v>146200</v>
      </c>
      <c r="H35" s="66">
        <v>458469</v>
      </c>
      <c r="I35" s="10">
        <v>449300</v>
      </c>
      <c r="J35" s="10">
        <f>H35-I35</f>
        <v>9169</v>
      </c>
      <c r="K35" s="10"/>
    </row>
    <row r="36" spans="1:11" x14ac:dyDescent="0.3">
      <c r="A36" s="67" t="s">
        <v>351</v>
      </c>
      <c r="B36" s="66" t="s">
        <v>333</v>
      </c>
      <c r="C36" s="66" t="s">
        <v>430</v>
      </c>
      <c r="D36" s="66" t="s">
        <v>431</v>
      </c>
      <c r="E36" s="66" t="s">
        <v>333</v>
      </c>
      <c r="F36" s="66">
        <v>199300</v>
      </c>
      <c r="G36" s="66">
        <v>100200</v>
      </c>
      <c r="H36" s="66">
        <v>301600</v>
      </c>
      <c r="I36" s="10">
        <v>295568</v>
      </c>
      <c r="J36" s="10">
        <f>H36-I36</f>
        <v>6032</v>
      </c>
      <c r="K36" s="10"/>
    </row>
    <row r="37" spans="1:11" x14ac:dyDescent="0.3">
      <c r="A37" s="67" t="s">
        <v>353</v>
      </c>
      <c r="B37" s="66" t="s">
        <v>350</v>
      </c>
      <c r="C37" s="66" t="s">
        <v>430</v>
      </c>
      <c r="D37" s="66" t="s">
        <v>335</v>
      </c>
      <c r="E37" s="66" t="s">
        <v>350</v>
      </c>
      <c r="F37" s="66">
        <v>233000</v>
      </c>
      <c r="G37" s="66">
        <v>120000</v>
      </c>
      <c r="H37" s="66">
        <v>346000</v>
      </c>
      <c r="I37" s="10">
        <v>339080</v>
      </c>
      <c r="J37" s="10"/>
      <c r="K37" s="10"/>
    </row>
    <row r="38" spans="1:11" x14ac:dyDescent="0.3">
      <c r="A38" s="14" t="s">
        <v>432</v>
      </c>
      <c r="B38" s="10" t="s">
        <v>435</v>
      </c>
      <c r="C38" s="10" t="s">
        <v>434</v>
      </c>
      <c r="D38" s="10" t="s">
        <v>436</v>
      </c>
      <c r="E38" s="10" t="s">
        <v>433</v>
      </c>
      <c r="F38" s="10">
        <v>177500</v>
      </c>
      <c r="G38" s="10">
        <v>88200</v>
      </c>
      <c r="H38" s="10">
        <f t="shared" ref="H38:H43" si="1">G38+F38</f>
        <v>265700</v>
      </c>
      <c r="I38" s="10"/>
      <c r="J38" s="10"/>
      <c r="K38" s="10"/>
    </row>
    <row r="39" spans="1:11" x14ac:dyDescent="0.3">
      <c r="A39" s="14" t="s">
        <v>437</v>
      </c>
      <c r="B39" s="10" t="s">
        <v>439</v>
      </c>
      <c r="C39" s="10" t="s">
        <v>434</v>
      </c>
      <c r="D39" s="10" t="s">
        <v>435</v>
      </c>
      <c r="E39" s="10" t="s">
        <v>438</v>
      </c>
      <c r="F39" s="10">
        <v>210500</v>
      </c>
      <c r="G39" s="10">
        <v>101400</v>
      </c>
      <c r="H39" s="10">
        <f t="shared" si="1"/>
        <v>311900</v>
      </c>
      <c r="I39" s="10"/>
      <c r="J39" s="10"/>
      <c r="K39" s="10"/>
    </row>
    <row r="40" spans="1:11" x14ac:dyDescent="0.3">
      <c r="A40" s="14" t="s">
        <v>394</v>
      </c>
      <c r="B40" s="10" t="s">
        <v>375</v>
      </c>
      <c r="C40" s="10" t="s">
        <v>440</v>
      </c>
      <c r="D40" s="10" t="s">
        <v>439</v>
      </c>
      <c r="E40" s="10" t="s">
        <v>375</v>
      </c>
      <c r="F40" s="10">
        <v>409300</v>
      </c>
      <c r="G40" s="10">
        <v>189700</v>
      </c>
      <c r="H40" s="10">
        <f t="shared" si="1"/>
        <v>599000</v>
      </c>
      <c r="I40" s="10"/>
      <c r="J40" s="10"/>
      <c r="K40" s="10"/>
    </row>
    <row r="41" spans="1:11" x14ac:dyDescent="0.3">
      <c r="A41" s="14" t="s">
        <v>396</v>
      </c>
      <c r="B41" s="10" t="s">
        <v>391</v>
      </c>
      <c r="C41" s="10" t="s">
        <v>440</v>
      </c>
      <c r="D41" s="10" t="s">
        <v>378</v>
      </c>
      <c r="E41" s="10" t="s">
        <v>391</v>
      </c>
      <c r="F41" s="10">
        <v>257100</v>
      </c>
      <c r="G41" s="10">
        <v>116400</v>
      </c>
      <c r="H41" s="10">
        <f t="shared" si="1"/>
        <v>373500</v>
      </c>
      <c r="I41" s="10"/>
      <c r="J41" s="10"/>
      <c r="K41" s="10"/>
    </row>
    <row r="42" spans="1:11" x14ac:dyDescent="0.3">
      <c r="A42" s="14" t="s">
        <v>410</v>
      </c>
      <c r="B42" s="10" t="s">
        <v>409</v>
      </c>
      <c r="C42" s="10" t="s">
        <v>441</v>
      </c>
      <c r="D42" s="10" t="s">
        <v>442</v>
      </c>
      <c r="E42" s="10" t="s">
        <v>409</v>
      </c>
      <c r="F42" s="10">
        <v>178400</v>
      </c>
      <c r="G42" s="10">
        <v>78600</v>
      </c>
      <c r="H42" s="10">
        <f t="shared" si="1"/>
        <v>257000</v>
      </c>
      <c r="I42" s="10"/>
      <c r="J42" s="10"/>
      <c r="K42" s="10"/>
    </row>
    <row r="43" spans="1:11" x14ac:dyDescent="0.3">
      <c r="A43" s="14" t="s">
        <v>443</v>
      </c>
      <c r="B43" s="10" t="s">
        <v>444</v>
      </c>
      <c r="C43" s="10" t="s">
        <v>441</v>
      </c>
      <c r="D43" s="10" t="s">
        <v>445</v>
      </c>
      <c r="E43" s="10" t="s">
        <v>444</v>
      </c>
      <c r="F43" s="10">
        <v>514600</v>
      </c>
      <c r="G43" s="10">
        <v>241800</v>
      </c>
      <c r="H43" s="10">
        <f t="shared" si="1"/>
        <v>756400</v>
      </c>
      <c r="I43" s="10"/>
      <c r="J43" s="10"/>
      <c r="K43" s="10"/>
    </row>
    <row r="44" spans="1:1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3">
      <c r="D45" s="28" t="s">
        <v>41</v>
      </c>
      <c r="E45" s="8"/>
      <c r="F45" s="8">
        <f>SUM(F23:F44)</f>
        <v>5175000</v>
      </c>
      <c r="G45" s="8">
        <f t="shared" ref="G45:H45" si="2">SUM(G23:G44)</f>
        <v>2430300</v>
      </c>
      <c r="H45" s="8">
        <f t="shared" si="2"/>
        <v>7588771</v>
      </c>
      <c r="I45" s="8"/>
    </row>
    <row r="48" spans="1:11" x14ac:dyDescent="0.3">
      <c r="A48" t="s">
        <v>446</v>
      </c>
    </row>
    <row r="50" spans="1:13" x14ac:dyDescent="0.3">
      <c r="A50" s="10" t="s">
        <v>26</v>
      </c>
      <c r="B50" s="10" t="s">
        <v>8</v>
      </c>
      <c r="C50" s="10"/>
      <c r="D50" s="10"/>
      <c r="E50" s="10"/>
      <c r="F50" s="10"/>
    </row>
    <row r="51" spans="1:13" x14ac:dyDescent="0.3">
      <c r="A51" s="10" t="s">
        <v>417</v>
      </c>
      <c r="B51" s="72">
        <v>189532</v>
      </c>
      <c r="C51" s="72">
        <f>H23</f>
        <v>193400</v>
      </c>
      <c r="D51" s="10">
        <f>C51-B51</f>
        <v>3868</v>
      </c>
      <c r="E51" s="64">
        <f>D51/C51</f>
        <v>0.02</v>
      </c>
      <c r="F51" s="10"/>
    </row>
    <row r="52" spans="1:13" x14ac:dyDescent="0.3">
      <c r="A52" s="10" t="s">
        <v>146</v>
      </c>
      <c r="B52" s="72">
        <v>443058</v>
      </c>
      <c r="C52" s="72">
        <v>452100</v>
      </c>
      <c r="D52" s="10">
        <f t="shared" ref="D52:D53" si="3">C52-B52</f>
        <v>9042</v>
      </c>
      <c r="E52" s="64">
        <f t="shared" ref="E52:E53" si="4">D52/C52</f>
        <v>0.02</v>
      </c>
      <c r="F52" s="10"/>
      <c r="G52">
        <v>452100</v>
      </c>
      <c r="H52">
        <f>G52-B52</f>
        <v>9042</v>
      </c>
      <c r="I52">
        <f>H52/G52</f>
        <v>0.02</v>
      </c>
    </row>
    <row r="53" spans="1:13" x14ac:dyDescent="0.3">
      <c r="A53" s="10" t="s">
        <v>200</v>
      </c>
      <c r="B53" s="72">
        <v>149646</v>
      </c>
      <c r="C53" s="72">
        <f t="shared" ref="C53:C59" si="5">H26</f>
        <v>152700</v>
      </c>
      <c r="D53" s="10">
        <f t="shared" si="3"/>
        <v>3054</v>
      </c>
      <c r="E53" s="64">
        <f t="shared" si="4"/>
        <v>0.02</v>
      </c>
      <c r="F53" s="10"/>
    </row>
    <row r="54" spans="1:13" x14ac:dyDescent="0.3">
      <c r="A54" s="10" t="s">
        <v>214</v>
      </c>
      <c r="B54" s="72">
        <v>237846</v>
      </c>
      <c r="C54" s="72">
        <f t="shared" si="5"/>
        <v>242700</v>
      </c>
      <c r="D54" s="10">
        <f t="shared" ref="D54:D55" si="6">C54-B54</f>
        <v>4854</v>
      </c>
      <c r="E54" s="64">
        <f t="shared" ref="E54:E55" si="7">D54/C54</f>
        <v>0.02</v>
      </c>
      <c r="F54" s="10"/>
    </row>
    <row r="55" spans="1:13" x14ac:dyDescent="0.3">
      <c r="A55" s="10" t="s">
        <v>240</v>
      </c>
      <c r="B55" s="72">
        <v>280476</v>
      </c>
      <c r="C55" s="72">
        <f t="shared" si="5"/>
        <v>286200</v>
      </c>
      <c r="D55" s="10">
        <f t="shared" si="6"/>
        <v>5724</v>
      </c>
      <c r="E55" s="64">
        <f t="shared" si="7"/>
        <v>0.02</v>
      </c>
      <c r="F55" s="10"/>
    </row>
    <row r="56" spans="1:13" x14ac:dyDescent="0.3">
      <c r="A56" s="10" t="s">
        <v>249</v>
      </c>
      <c r="B56" s="72">
        <v>373674</v>
      </c>
      <c r="C56" s="72">
        <f t="shared" si="5"/>
        <v>381300</v>
      </c>
      <c r="D56" s="10">
        <f t="shared" ref="D56:D57" si="8">C56-B56</f>
        <v>7626</v>
      </c>
      <c r="E56" s="64">
        <f t="shared" ref="E56:E57" si="9">D56/C56</f>
        <v>0.02</v>
      </c>
      <c r="F56" s="10"/>
    </row>
    <row r="57" spans="1:13" x14ac:dyDescent="0.3">
      <c r="A57" s="10" t="s">
        <v>272</v>
      </c>
      <c r="B57" s="72">
        <v>330652</v>
      </c>
      <c r="C57" s="72">
        <f t="shared" si="5"/>
        <v>337400</v>
      </c>
      <c r="D57" s="10">
        <f t="shared" si="8"/>
        <v>6748</v>
      </c>
      <c r="E57" s="64">
        <f t="shared" si="9"/>
        <v>0.02</v>
      </c>
      <c r="F57" s="10"/>
    </row>
    <row r="58" spans="1:13" x14ac:dyDescent="0.3">
      <c r="A58" s="10" t="s">
        <v>447</v>
      </c>
      <c r="B58" s="72">
        <v>469616</v>
      </c>
      <c r="C58" s="72">
        <f t="shared" si="5"/>
        <v>479200</v>
      </c>
      <c r="D58" s="10">
        <f t="shared" ref="D58" si="10">C58-B58</f>
        <v>9584</v>
      </c>
      <c r="E58" s="64">
        <f t="shared" ref="E58" si="11">D58/C58</f>
        <v>0.02</v>
      </c>
      <c r="F58" s="10"/>
      <c r="H58" s="69">
        <f>D58/B58</f>
        <v>2.0408163265306121E-2</v>
      </c>
      <c r="I58">
        <f>B58*H58</f>
        <v>9584</v>
      </c>
    </row>
    <row r="59" spans="1:13" x14ac:dyDescent="0.3">
      <c r="A59" s="10" t="s">
        <v>300</v>
      </c>
      <c r="B59" s="72">
        <v>357994</v>
      </c>
      <c r="C59" s="72">
        <f t="shared" si="5"/>
        <v>365300</v>
      </c>
      <c r="D59" s="10">
        <f t="shared" ref="D59" si="12">C59-B59</f>
        <v>7306</v>
      </c>
      <c r="E59" s="64">
        <f t="shared" ref="E59" si="13">D59/C59</f>
        <v>0.02</v>
      </c>
      <c r="F59" s="10"/>
      <c r="H59" s="69">
        <f>D59/B59</f>
        <v>2.0408163265306121E-2</v>
      </c>
      <c r="I59">
        <f>B59*H59</f>
        <v>7305.9999999999991</v>
      </c>
    </row>
    <row r="60" spans="1:13" x14ac:dyDescent="0.3">
      <c r="A60" s="10" t="s">
        <v>343</v>
      </c>
      <c r="B60" s="71">
        <v>1028902</v>
      </c>
      <c r="C60" s="71">
        <v>588000</v>
      </c>
      <c r="D60" s="10">
        <f>B60*H59</f>
        <v>20998</v>
      </c>
      <c r="E60" s="64">
        <f>D60/(C60+C61)</f>
        <v>2.0408163265306121E-2</v>
      </c>
      <c r="F60" s="10"/>
      <c r="G60">
        <v>925600</v>
      </c>
      <c r="H60">
        <f>G60-B60</f>
        <v>-103302</v>
      </c>
      <c r="I60">
        <f>H60/G60</f>
        <v>-0.11160544511668107</v>
      </c>
      <c r="K60">
        <v>2037300</v>
      </c>
      <c r="L60">
        <v>2112880</v>
      </c>
      <c r="M60">
        <f>L60-K60</f>
        <v>75580</v>
      </c>
    </row>
    <row r="61" spans="1:13" x14ac:dyDescent="0.3">
      <c r="A61" s="10" t="s">
        <v>448</v>
      </c>
      <c r="B61" s="71">
        <v>449330</v>
      </c>
      <c r="C61" s="71">
        <v>440902</v>
      </c>
      <c r="D61" s="10"/>
      <c r="E61" s="10"/>
      <c r="F61" s="10"/>
      <c r="G61">
        <v>459500</v>
      </c>
      <c r="H61">
        <f>G61-B61</f>
        <v>10170</v>
      </c>
      <c r="I61">
        <f>H61/G61</f>
        <v>2.2132752992383025E-2</v>
      </c>
      <c r="M61">
        <f>M60/L60</f>
        <v>3.5771080231721632E-2</v>
      </c>
    </row>
    <row r="62" spans="1:13" x14ac:dyDescent="0.3">
      <c r="A62" s="10" t="s">
        <v>449</v>
      </c>
      <c r="B62" s="71">
        <v>634648</v>
      </c>
      <c r="C62" s="71">
        <v>458469</v>
      </c>
      <c r="D62" s="10"/>
      <c r="E62" s="10"/>
      <c r="F62" s="10"/>
      <c r="G62">
        <v>652500</v>
      </c>
      <c r="H62">
        <f>G62-B62</f>
        <v>17852</v>
      </c>
      <c r="I62">
        <f>H62/G62</f>
        <v>2.7359386973180078E-2</v>
      </c>
    </row>
    <row r="63" spans="1:13" x14ac:dyDescent="0.3">
      <c r="A63" s="10" t="s">
        <v>385</v>
      </c>
      <c r="B63" s="72">
        <v>260386</v>
      </c>
      <c r="C63" s="71">
        <v>301600</v>
      </c>
      <c r="D63" s="10"/>
      <c r="E63" s="10"/>
      <c r="F63" s="10"/>
      <c r="G63">
        <v>265700</v>
      </c>
      <c r="H63">
        <f>G63-B63</f>
        <v>5314</v>
      </c>
      <c r="I63">
        <f>H63/G63</f>
        <v>0.02</v>
      </c>
    </row>
    <row r="64" spans="1:13" x14ac:dyDescent="0.3">
      <c r="A64" s="10" t="s">
        <v>450</v>
      </c>
      <c r="B64" s="72">
        <v>305662</v>
      </c>
      <c r="C64" s="71">
        <v>346000</v>
      </c>
      <c r="D64" s="10"/>
      <c r="E64" s="10"/>
      <c r="F64" s="10"/>
      <c r="G64">
        <v>311900</v>
      </c>
      <c r="H64">
        <f>G64-B64</f>
        <v>6238</v>
      </c>
      <c r="I64">
        <f>H64/G64</f>
        <v>0.02</v>
      </c>
    </row>
    <row r="65" spans="1:12" x14ac:dyDescent="0.3">
      <c r="A65" s="10" t="s">
        <v>452</v>
      </c>
      <c r="B65" s="72">
        <v>953050</v>
      </c>
      <c r="C65" s="72">
        <f>H38</f>
        <v>265700</v>
      </c>
      <c r="D65" s="10"/>
      <c r="E65" s="10"/>
      <c r="F65" s="10"/>
    </row>
    <row r="66" spans="1:12" x14ac:dyDescent="0.3">
      <c r="C66" s="72">
        <f>H39</f>
        <v>311900</v>
      </c>
    </row>
    <row r="67" spans="1:12" x14ac:dyDescent="0.3">
      <c r="C67" s="72">
        <f t="shared" ref="C67:C68" si="14">H40</f>
        <v>599000</v>
      </c>
      <c r="H67">
        <f>J67+I67</f>
        <v>600000</v>
      </c>
      <c r="I67">
        <f t="shared" ref="I67:I72" si="15">J67*$H$59</f>
        <v>11999.999999999998</v>
      </c>
      <c r="J67">
        <v>588000</v>
      </c>
      <c r="K67">
        <f>C60-J67</f>
        <v>0</v>
      </c>
      <c r="L67">
        <f>K67/J67</f>
        <v>0</v>
      </c>
    </row>
    <row r="68" spans="1:12" x14ac:dyDescent="0.3">
      <c r="C68" s="72">
        <f t="shared" si="14"/>
        <v>373500</v>
      </c>
      <c r="H68">
        <f>J68+I68</f>
        <v>449900</v>
      </c>
      <c r="I68">
        <f t="shared" si="15"/>
        <v>8998</v>
      </c>
      <c r="J68">
        <v>440902</v>
      </c>
      <c r="K68">
        <f>C61-J68</f>
        <v>0</v>
      </c>
      <c r="L68">
        <f>K68/J68</f>
        <v>0</v>
      </c>
    </row>
    <row r="69" spans="1:12" x14ac:dyDescent="0.3">
      <c r="E69" s="68"/>
      <c r="H69" s="70">
        <f>J69+I69</f>
        <v>458469.38775510201</v>
      </c>
      <c r="I69" s="70">
        <f t="shared" si="15"/>
        <v>9169.3877551020396</v>
      </c>
      <c r="J69">
        <v>449300</v>
      </c>
    </row>
    <row r="70" spans="1:12" x14ac:dyDescent="0.3">
      <c r="B70">
        <f>SUM(B51:B65)</f>
        <v>6464472</v>
      </c>
      <c r="C70" s="10">
        <f>SUM(C51:C68)</f>
        <v>6575371</v>
      </c>
      <c r="H70" s="70">
        <f t="shared" ref="H70:H72" si="16">J70+I70</f>
        <v>301600</v>
      </c>
      <c r="I70" s="70">
        <f t="shared" si="15"/>
        <v>6031.9999999999991</v>
      </c>
      <c r="J70">
        <v>295568</v>
      </c>
    </row>
    <row r="71" spans="1:12" x14ac:dyDescent="0.3">
      <c r="B71">
        <f>C70-B70</f>
        <v>110899</v>
      </c>
      <c r="C71" s="10"/>
      <c r="E71" s="68"/>
      <c r="H71" s="70">
        <f t="shared" si="16"/>
        <v>346000</v>
      </c>
      <c r="I71" s="70">
        <f t="shared" si="15"/>
        <v>6919.9999999999991</v>
      </c>
      <c r="J71">
        <v>339080</v>
      </c>
    </row>
    <row r="72" spans="1:12" x14ac:dyDescent="0.3">
      <c r="B72" s="68">
        <f>B71/B70</f>
        <v>1.7155152037165604E-2</v>
      </c>
      <c r="C72" s="10">
        <f>H44</f>
        <v>0</v>
      </c>
      <c r="H72" s="70">
        <f t="shared" si="16"/>
        <v>0</v>
      </c>
      <c r="I72" s="70">
        <f t="shared" si="15"/>
        <v>0</v>
      </c>
    </row>
    <row r="74" spans="1:12" x14ac:dyDescent="0.3">
      <c r="B74">
        <v>2112880</v>
      </c>
      <c r="C74">
        <v>2151500</v>
      </c>
    </row>
    <row r="75" spans="1:12" x14ac:dyDescent="0.3">
      <c r="C75">
        <f>B74-C74</f>
        <v>-38620</v>
      </c>
    </row>
    <row r="76" spans="1:12" x14ac:dyDescent="0.3">
      <c r="C76">
        <f>C75/C74</f>
        <v>-1.7950267255403208E-2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1558-681E-4B2D-B943-1FD6C6042040}">
  <dimension ref="B1:T975"/>
  <sheetViews>
    <sheetView showGridLines="0" tabSelected="1" topLeftCell="A953" zoomScale="80" zoomScaleNormal="100" workbookViewId="0">
      <selection activeCell="P984" sqref="P984"/>
    </sheetView>
  </sheetViews>
  <sheetFormatPr defaultRowHeight="14.4" x14ac:dyDescent="0.3"/>
  <sheetData>
    <row r="1" spans="2:14" ht="15" thickBot="1" x14ac:dyDescent="0.35"/>
    <row r="2" spans="2:14" ht="23.4" x14ac:dyDescent="0.45">
      <c r="B2" s="135" t="s">
        <v>11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4" x14ac:dyDescent="0.3">
      <c r="B3" s="138" t="s">
        <v>12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0"/>
    </row>
    <row r="4" spans="2:14" ht="4.5" customHeight="1" x14ac:dyDescent="0.3">
      <c r="B4" s="141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3"/>
    </row>
    <row r="5" spans="2:14" ht="15.6" x14ac:dyDescent="0.3">
      <c r="B5" s="144" t="s">
        <v>0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6"/>
    </row>
    <row r="6" spans="2:14" x14ac:dyDescent="0.3">
      <c r="B6" s="15" t="s">
        <v>1</v>
      </c>
      <c r="C6" s="14"/>
      <c r="D6" s="14"/>
      <c r="E6" s="14"/>
      <c r="F6" s="14"/>
      <c r="G6" s="13"/>
      <c r="H6" s="12"/>
      <c r="I6" s="14"/>
      <c r="J6" s="14" t="s">
        <v>20</v>
      </c>
      <c r="K6" s="14" t="s">
        <v>15</v>
      </c>
      <c r="L6" s="14"/>
      <c r="M6" s="14"/>
      <c r="N6" s="16"/>
    </row>
    <row r="7" spans="2:14" x14ac:dyDescent="0.3">
      <c r="B7" s="17" t="s">
        <v>2</v>
      </c>
      <c r="G7" s="2"/>
      <c r="H7" s="1"/>
      <c r="J7" t="s">
        <v>13</v>
      </c>
      <c r="K7" t="s">
        <v>14</v>
      </c>
      <c r="N7" s="18"/>
    </row>
    <row r="8" spans="2:14" x14ac:dyDescent="0.3">
      <c r="B8" s="17" t="s">
        <v>23</v>
      </c>
      <c r="G8" s="2"/>
      <c r="H8" s="1"/>
      <c r="N8" s="18"/>
    </row>
    <row r="9" spans="2:14" x14ac:dyDescent="0.3">
      <c r="B9" s="17" t="s">
        <v>24</v>
      </c>
      <c r="G9" s="2"/>
      <c r="H9" s="1"/>
      <c r="N9" s="18"/>
    </row>
    <row r="10" spans="2:14" x14ac:dyDescent="0.3">
      <c r="B10" s="17" t="s">
        <v>3</v>
      </c>
      <c r="C10" t="s">
        <v>4</v>
      </c>
      <c r="G10" s="2"/>
      <c r="H10" s="1"/>
      <c r="N10" s="18"/>
    </row>
    <row r="11" spans="2:14" x14ac:dyDescent="0.3">
      <c r="B11" s="17" t="s">
        <v>5</v>
      </c>
      <c r="C11" s="4"/>
      <c r="D11" s="4"/>
      <c r="E11" s="4"/>
      <c r="F11" s="4"/>
      <c r="G11" s="5"/>
      <c r="H11" s="3"/>
      <c r="I11" s="4"/>
      <c r="J11" s="4"/>
      <c r="K11" s="4"/>
      <c r="L11" s="4"/>
      <c r="M11" s="4"/>
      <c r="N11" s="19"/>
    </row>
    <row r="12" spans="2:14" x14ac:dyDescent="0.3">
      <c r="B12" s="147" t="s">
        <v>6</v>
      </c>
      <c r="C12" s="148"/>
      <c r="D12" s="148"/>
      <c r="E12" s="148"/>
      <c r="F12" s="148"/>
      <c r="G12" s="148"/>
      <c r="H12" s="148"/>
      <c r="I12" s="148"/>
      <c r="J12" s="129"/>
      <c r="K12" s="9" t="s">
        <v>8</v>
      </c>
      <c r="L12" s="7" t="s">
        <v>9</v>
      </c>
      <c r="M12" s="6" t="s">
        <v>10</v>
      </c>
      <c r="N12" s="20"/>
    </row>
    <row r="13" spans="2:14" x14ac:dyDescent="0.3">
      <c r="B13" s="15"/>
      <c r="C13" s="14"/>
      <c r="D13" s="14"/>
      <c r="E13" s="14"/>
      <c r="F13" s="14"/>
      <c r="G13" s="14"/>
      <c r="H13" s="14"/>
      <c r="I13" s="14"/>
      <c r="J13" s="13"/>
      <c r="K13" s="11"/>
      <c r="L13" s="2"/>
      <c r="M13" s="121"/>
      <c r="N13" s="122"/>
    </row>
    <row r="14" spans="2:14" x14ac:dyDescent="0.3">
      <c r="B14" s="118" t="s">
        <v>7</v>
      </c>
      <c r="C14" s="119"/>
      <c r="D14" s="119"/>
      <c r="E14" s="119"/>
      <c r="F14" s="119"/>
      <c r="G14" s="119"/>
      <c r="H14" s="119"/>
      <c r="I14" s="119"/>
      <c r="J14" s="123"/>
      <c r="K14" s="11">
        <v>193400</v>
      </c>
      <c r="L14" s="29">
        <v>0</v>
      </c>
      <c r="M14" s="124">
        <v>193400</v>
      </c>
      <c r="N14" s="125"/>
    </row>
    <row r="15" spans="2:14" x14ac:dyDescent="0.3">
      <c r="B15" s="17"/>
      <c r="J15" s="2"/>
      <c r="K15" s="11"/>
      <c r="L15" s="2"/>
      <c r="M15" s="124"/>
      <c r="N15" s="125"/>
    </row>
    <row r="16" spans="2:14" x14ac:dyDescent="0.3">
      <c r="B16" s="17"/>
      <c r="D16" t="s">
        <v>21</v>
      </c>
      <c r="J16" s="2"/>
      <c r="K16" s="11"/>
      <c r="L16" s="2"/>
      <c r="M16" s="124"/>
      <c r="N16" s="125"/>
    </row>
    <row r="17" spans="2:17" x14ac:dyDescent="0.3">
      <c r="B17" s="17"/>
      <c r="J17" s="2"/>
      <c r="K17" s="11"/>
      <c r="L17" s="2"/>
      <c r="M17" s="124"/>
      <c r="N17" s="125"/>
    </row>
    <row r="18" spans="2:17" x14ac:dyDescent="0.3">
      <c r="B18" s="17"/>
      <c r="J18" s="2"/>
      <c r="K18" s="11"/>
      <c r="L18" s="2"/>
      <c r="M18" s="124"/>
      <c r="N18" s="125"/>
    </row>
    <row r="19" spans="2:17" x14ac:dyDescent="0.3">
      <c r="B19" s="17"/>
      <c r="J19" s="2"/>
      <c r="K19" s="11"/>
      <c r="L19" s="2"/>
      <c r="M19" s="126"/>
      <c r="N19" s="127"/>
    </row>
    <row r="20" spans="2:17" x14ac:dyDescent="0.3">
      <c r="B20" s="21"/>
      <c r="C20" s="4"/>
      <c r="D20" s="4"/>
      <c r="E20" s="4"/>
      <c r="F20" s="4"/>
      <c r="G20" s="4"/>
      <c r="H20" s="4"/>
      <c r="I20" s="128" t="s">
        <v>16</v>
      </c>
      <c r="J20" s="129"/>
      <c r="K20" s="10">
        <v>193400</v>
      </c>
      <c r="L20" s="30" t="s">
        <v>88</v>
      </c>
      <c r="M20" s="149">
        <v>193400</v>
      </c>
      <c r="N20" s="150"/>
      <c r="P20">
        <f>+M20*2%</f>
        <v>3868</v>
      </c>
      <c r="Q20">
        <f>+M20-P20</f>
        <v>189532</v>
      </c>
    </row>
    <row r="21" spans="2:17" x14ac:dyDescent="0.3">
      <c r="B21" s="17"/>
      <c r="N21" s="18"/>
    </row>
    <row r="22" spans="2:17" ht="16.5" customHeight="1" x14ac:dyDescent="0.3">
      <c r="B22" s="15" t="s">
        <v>17</v>
      </c>
      <c r="C22" s="131" t="s">
        <v>22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/>
    </row>
    <row r="23" spans="2:17" x14ac:dyDescent="0.3">
      <c r="B23" s="21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4"/>
    </row>
    <row r="24" spans="2:17" x14ac:dyDescent="0.3">
      <c r="B24" s="17"/>
      <c r="N24" s="18"/>
    </row>
    <row r="25" spans="2:17" x14ac:dyDescent="0.3">
      <c r="B25" s="17"/>
      <c r="N25" s="18"/>
    </row>
    <row r="26" spans="2:17" x14ac:dyDescent="0.3">
      <c r="B26" s="17"/>
      <c r="L26" s="8" t="s">
        <v>18</v>
      </c>
      <c r="N26" s="18"/>
    </row>
    <row r="27" spans="2:17" x14ac:dyDescent="0.3">
      <c r="B27" s="17"/>
      <c r="L27" s="8"/>
      <c r="N27" s="18"/>
    </row>
    <row r="28" spans="2:17" x14ac:dyDescent="0.3">
      <c r="B28" s="17"/>
      <c r="L28" s="8"/>
      <c r="N28" s="18"/>
    </row>
    <row r="29" spans="2:17" ht="15" thickBot="1" x14ac:dyDescent="0.35"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 t="s">
        <v>19</v>
      </c>
      <c r="M29" s="23"/>
      <c r="N29" s="25"/>
    </row>
    <row r="32" spans="2:17" ht="15" thickBot="1" x14ac:dyDescent="0.35"/>
    <row r="33" spans="2:14" ht="23.4" x14ac:dyDescent="0.45">
      <c r="B33" s="135" t="s">
        <v>11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7"/>
    </row>
    <row r="34" spans="2:14" x14ac:dyDescent="0.3">
      <c r="B34" s="138" t="s">
        <v>12</v>
      </c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40"/>
    </row>
    <row r="35" spans="2:14" ht="15.6" x14ac:dyDescent="0.3"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3"/>
    </row>
    <row r="36" spans="2:14" ht="15.6" x14ac:dyDescent="0.3">
      <c r="B36" s="144" t="s">
        <v>0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6"/>
    </row>
    <row r="37" spans="2:14" x14ac:dyDescent="0.3">
      <c r="B37" s="15" t="s">
        <v>1</v>
      </c>
      <c r="C37" s="14"/>
      <c r="D37" s="14"/>
      <c r="E37" s="14"/>
      <c r="F37" s="14"/>
      <c r="G37" s="13"/>
      <c r="H37" s="12"/>
      <c r="I37" s="14"/>
      <c r="J37" s="14" t="s">
        <v>20</v>
      </c>
      <c r="K37" s="14" t="s">
        <v>107</v>
      </c>
      <c r="L37" s="14"/>
      <c r="M37" s="14"/>
      <c r="N37" s="16"/>
    </row>
    <row r="38" spans="2:14" x14ac:dyDescent="0.3">
      <c r="B38" s="17" t="s">
        <v>2</v>
      </c>
      <c r="G38" s="2"/>
      <c r="H38" s="1"/>
      <c r="J38" t="s">
        <v>13</v>
      </c>
      <c r="K38" t="s">
        <v>108</v>
      </c>
      <c r="N38" s="18"/>
    </row>
    <row r="39" spans="2:14" x14ac:dyDescent="0.3">
      <c r="B39" s="17" t="s">
        <v>23</v>
      </c>
      <c r="G39" s="2"/>
      <c r="H39" s="1"/>
      <c r="N39" s="18"/>
    </row>
    <row r="40" spans="2:14" x14ac:dyDescent="0.3">
      <c r="B40" s="17" t="s">
        <v>24</v>
      </c>
      <c r="G40" s="2"/>
      <c r="H40" s="1"/>
      <c r="N40" s="18"/>
    </row>
    <row r="41" spans="2:14" x14ac:dyDescent="0.3">
      <c r="B41" s="17" t="s">
        <v>3</v>
      </c>
      <c r="C41" t="s">
        <v>4</v>
      </c>
      <c r="G41" s="2"/>
      <c r="H41" s="1"/>
      <c r="N41" s="18"/>
    </row>
    <row r="42" spans="2:14" x14ac:dyDescent="0.3">
      <c r="B42" s="17" t="s">
        <v>5</v>
      </c>
      <c r="C42" s="4"/>
      <c r="D42" s="4"/>
      <c r="E42" s="4"/>
      <c r="F42" s="4"/>
      <c r="G42" s="5"/>
      <c r="H42" s="3"/>
      <c r="I42" s="4"/>
      <c r="J42" s="4"/>
      <c r="K42" s="4"/>
      <c r="L42" s="4"/>
      <c r="M42" s="4"/>
      <c r="N42" s="19"/>
    </row>
    <row r="43" spans="2:14" x14ac:dyDescent="0.3">
      <c r="B43" s="147" t="s">
        <v>6</v>
      </c>
      <c r="C43" s="148"/>
      <c r="D43" s="148"/>
      <c r="E43" s="148"/>
      <c r="F43" s="148"/>
      <c r="G43" s="148"/>
      <c r="H43" s="148"/>
      <c r="I43" s="148"/>
      <c r="J43" s="129"/>
      <c r="K43" s="9" t="s">
        <v>8</v>
      </c>
      <c r="L43" s="7" t="s">
        <v>9</v>
      </c>
      <c r="M43" s="6" t="s">
        <v>10</v>
      </c>
      <c r="N43" s="20"/>
    </row>
    <row r="44" spans="2:14" x14ac:dyDescent="0.3">
      <c r="B44" s="15"/>
      <c r="C44" s="14"/>
      <c r="D44" s="14"/>
      <c r="E44" s="14"/>
      <c r="F44" s="14"/>
      <c r="G44" s="14"/>
      <c r="H44" s="14"/>
      <c r="I44" s="14"/>
      <c r="J44" s="13"/>
      <c r="K44" s="11"/>
      <c r="L44" s="2"/>
      <c r="M44" s="121"/>
      <c r="N44" s="122"/>
    </row>
    <row r="45" spans="2:14" x14ac:dyDescent="0.3">
      <c r="B45" s="118" t="s">
        <v>109</v>
      </c>
      <c r="C45" s="119"/>
      <c r="D45" s="119"/>
      <c r="E45" s="119"/>
      <c r="F45" s="119"/>
      <c r="G45" s="119"/>
      <c r="H45" s="119"/>
      <c r="I45" s="119"/>
      <c r="J45" s="123"/>
      <c r="K45" s="11">
        <v>249800</v>
      </c>
      <c r="L45" s="29">
        <v>0</v>
      </c>
      <c r="M45" s="124">
        <v>249800</v>
      </c>
      <c r="N45" s="125"/>
    </row>
    <row r="46" spans="2:14" x14ac:dyDescent="0.3">
      <c r="B46" s="17"/>
      <c r="J46" s="2"/>
      <c r="K46" s="11"/>
      <c r="L46" s="2"/>
      <c r="M46" s="124"/>
      <c r="N46" s="125"/>
    </row>
    <row r="47" spans="2:14" x14ac:dyDescent="0.3">
      <c r="B47" s="17"/>
      <c r="D47" t="s">
        <v>21</v>
      </c>
      <c r="J47" s="2"/>
      <c r="K47" s="11"/>
      <c r="L47" s="2"/>
      <c r="M47" s="124"/>
      <c r="N47" s="125"/>
    </row>
    <row r="48" spans="2:14" x14ac:dyDescent="0.3">
      <c r="B48" s="17"/>
      <c r="J48" s="2"/>
      <c r="K48" s="11"/>
      <c r="L48" s="2"/>
      <c r="M48" s="124"/>
      <c r="N48" s="125"/>
    </row>
    <row r="49" spans="2:20" x14ac:dyDescent="0.3">
      <c r="B49" s="17"/>
      <c r="J49" s="2"/>
      <c r="K49" s="11"/>
      <c r="L49" s="2"/>
      <c r="M49" s="124"/>
      <c r="N49" s="125"/>
    </row>
    <row r="50" spans="2:20" x14ac:dyDescent="0.3">
      <c r="B50" s="17"/>
      <c r="J50" s="2"/>
      <c r="K50" s="11"/>
      <c r="L50" s="2"/>
      <c r="M50" s="126"/>
      <c r="N50" s="127"/>
    </row>
    <row r="51" spans="2:20" x14ac:dyDescent="0.3">
      <c r="B51" s="21"/>
      <c r="C51" s="4"/>
      <c r="D51" s="4"/>
      <c r="E51" s="4"/>
      <c r="F51" s="4"/>
      <c r="G51" s="4"/>
      <c r="H51" s="4"/>
      <c r="I51" s="128" t="s">
        <v>16</v>
      </c>
      <c r="J51" s="129"/>
      <c r="K51" s="10">
        <v>249800</v>
      </c>
      <c r="L51" s="30" t="s">
        <v>88</v>
      </c>
      <c r="M51" s="149">
        <v>249800</v>
      </c>
      <c r="N51" s="150"/>
      <c r="P51">
        <f>+M51*2%</f>
        <v>4996</v>
      </c>
      <c r="Q51">
        <f>+M51-P51</f>
        <v>244804</v>
      </c>
    </row>
    <row r="52" spans="2:20" x14ac:dyDescent="0.3">
      <c r="B52" s="17"/>
      <c r="N52" s="18"/>
    </row>
    <row r="53" spans="2:20" x14ac:dyDescent="0.3">
      <c r="B53" s="15" t="s">
        <v>17</v>
      </c>
      <c r="C53" s="131" t="s">
        <v>22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/>
      <c r="Q53" s="8">
        <f>+Q51+Q20</f>
        <v>434336</v>
      </c>
    </row>
    <row r="54" spans="2:20" x14ac:dyDescent="0.3">
      <c r="B54" s="21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4"/>
      <c r="Q54">
        <f>183200+134500-3900</f>
        <v>313800</v>
      </c>
      <c r="R54" t="s">
        <v>172</v>
      </c>
      <c r="S54">
        <v>327300</v>
      </c>
      <c r="T54">
        <f>+S54-Q54</f>
        <v>13500</v>
      </c>
    </row>
    <row r="55" spans="2:20" x14ac:dyDescent="0.3">
      <c r="B55" s="17"/>
      <c r="N55" s="18"/>
      <c r="Q55">
        <f>9600+3900</f>
        <v>13500</v>
      </c>
      <c r="R55" t="s">
        <v>173</v>
      </c>
      <c r="S55">
        <v>134500</v>
      </c>
      <c r="T55" t="s">
        <v>175</v>
      </c>
    </row>
    <row r="56" spans="2:20" x14ac:dyDescent="0.3">
      <c r="B56" s="17"/>
      <c r="N56" s="18"/>
      <c r="Q56" s="8">
        <f>+Q55+Q54</f>
        <v>327300</v>
      </c>
      <c r="S56">
        <f>183200+9600</f>
        <v>192800</v>
      </c>
      <c r="T56" t="s">
        <v>176</v>
      </c>
    </row>
    <row r="57" spans="2:20" x14ac:dyDescent="0.3">
      <c r="B57" s="17"/>
      <c r="L57" s="8" t="s">
        <v>18</v>
      </c>
      <c r="N57" s="18"/>
      <c r="Q57">
        <f>+Q53-Q56</f>
        <v>107036</v>
      </c>
      <c r="S57">
        <f>+S56+S55</f>
        <v>327300</v>
      </c>
    </row>
    <row r="58" spans="2:20" x14ac:dyDescent="0.3">
      <c r="B58" s="17"/>
      <c r="L58" s="8"/>
      <c r="N58" s="18"/>
    </row>
    <row r="59" spans="2:20" x14ac:dyDescent="0.3">
      <c r="B59" s="17"/>
      <c r="L59" s="8"/>
      <c r="N59" s="18"/>
    </row>
    <row r="60" spans="2:20" ht="15" thickBot="1" x14ac:dyDescent="0.35"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4" t="s">
        <v>19</v>
      </c>
      <c r="M60" s="23"/>
      <c r="N60" s="25"/>
    </row>
    <row r="62" spans="2:20" ht="15" thickBot="1" x14ac:dyDescent="0.35"/>
    <row r="63" spans="2:20" ht="23.4" x14ac:dyDescent="0.45">
      <c r="B63" s="135" t="s">
        <v>11</v>
      </c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7"/>
    </row>
    <row r="64" spans="2:20" x14ac:dyDescent="0.3">
      <c r="B64" s="138" t="s">
        <v>12</v>
      </c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40"/>
    </row>
    <row r="65" spans="2:14" ht="15.6" x14ac:dyDescent="0.3">
      <c r="B65" s="141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3"/>
    </row>
    <row r="66" spans="2:14" ht="15.6" x14ac:dyDescent="0.3">
      <c r="B66" s="144" t="s">
        <v>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6"/>
    </row>
    <row r="67" spans="2:14" x14ac:dyDescent="0.3">
      <c r="B67" s="15" t="s">
        <v>1</v>
      </c>
      <c r="C67" s="14"/>
      <c r="D67" s="14"/>
      <c r="E67" s="14"/>
      <c r="F67" s="14"/>
      <c r="G67" s="13"/>
      <c r="H67" s="12"/>
      <c r="I67" s="14"/>
      <c r="J67" s="14" t="s">
        <v>20</v>
      </c>
      <c r="K67" s="14" t="s">
        <v>120</v>
      </c>
      <c r="L67" s="14"/>
      <c r="M67" s="14"/>
      <c r="N67" s="16"/>
    </row>
    <row r="68" spans="2:14" x14ac:dyDescent="0.3">
      <c r="B68" s="17" t="s">
        <v>2</v>
      </c>
      <c r="G68" s="2"/>
      <c r="H68" s="1"/>
      <c r="J68" t="s">
        <v>13</v>
      </c>
      <c r="K68" t="s">
        <v>119</v>
      </c>
      <c r="N68" s="18"/>
    </row>
    <row r="69" spans="2:14" x14ac:dyDescent="0.3">
      <c r="B69" s="17" t="s">
        <v>23</v>
      </c>
      <c r="G69" s="2"/>
      <c r="H69" s="1"/>
      <c r="N69" s="18"/>
    </row>
    <row r="70" spans="2:14" x14ac:dyDescent="0.3">
      <c r="B70" s="17" t="s">
        <v>24</v>
      </c>
      <c r="G70" s="2"/>
      <c r="H70" s="1"/>
      <c r="N70" s="18"/>
    </row>
    <row r="71" spans="2:14" x14ac:dyDescent="0.3">
      <c r="B71" s="17" t="s">
        <v>3</v>
      </c>
      <c r="C71" t="s">
        <v>4</v>
      </c>
      <c r="G71" s="2"/>
      <c r="H71" s="1"/>
      <c r="N71" s="18"/>
    </row>
    <row r="72" spans="2:14" x14ac:dyDescent="0.3">
      <c r="B72" s="17" t="s">
        <v>5</v>
      </c>
      <c r="C72" s="4"/>
      <c r="D72" s="4"/>
      <c r="E72" s="4"/>
      <c r="F72" s="4"/>
      <c r="G72" s="5"/>
      <c r="H72" s="3"/>
      <c r="I72" s="4"/>
      <c r="J72" s="4"/>
      <c r="K72" s="4"/>
      <c r="L72" s="4"/>
      <c r="M72" s="4"/>
      <c r="N72" s="19"/>
    </row>
    <row r="73" spans="2:14" x14ac:dyDescent="0.3">
      <c r="B73" s="147" t="s">
        <v>6</v>
      </c>
      <c r="C73" s="148"/>
      <c r="D73" s="148"/>
      <c r="E73" s="148"/>
      <c r="F73" s="148"/>
      <c r="G73" s="148"/>
      <c r="H73" s="148"/>
      <c r="I73" s="148"/>
      <c r="J73" s="129"/>
      <c r="K73" s="9" t="s">
        <v>8</v>
      </c>
      <c r="L73" s="7" t="s">
        <v>9</v>
      </c>
      <c r="M73" s="6" t="s">
        <v>10</v>
      </c>
      <c r="N73" s="20"/>
    </row>
    <row r="74" spans="2:14" x14ac:dyDescent="0.3">
      <c r="B74" s="15"/>
      <c r="C74" s="14"/>
      <c r="D74" s="14"/>
      <c r="E74" s="14"/>
      <c r="F74" s="14"/>
      <c r="G74" s="14"/>
      <c r="H74" s="14"/>
      <c r="I74" s="14"/>
      <c r="J74" s="13"/>
      <c r="K74" s="11"/>
      <c r="L74" s="2"/>
      <c r="M74" s="121"/>
      <c r="N74" s="122"/>
    </row>
    <row r="75" spans="2:14" x14ac:dyDescent="0.3">
      <c r="B75" s="118" t="s">
        <v>121</v>
      </c>
      <c r="C75" s="119"/>
      <c r="D75" s="119"/>
      <c r="E75" s="119"/>
      <c r="F75" s="119"/>
      <c r="G75" s="119"/>
      <c r="H75" s="119"/>
      <c r="I75" s="119"/>
      <c r="J75" s="123"/>
      <c r="K75" s="11">
        <v>202300</v>
      </c>
      <c r="L75" s="29">
        <v>0</v>
      </c>
      <c r="M75" s="124">
        <v>202300</v>
      </c>
      <c r="N75" s="125"/>
    </row>
    <row r="76" spans="2:14" x14ac:dyDescent="0.3">
      <c r="B76" s="17"/>
      <c r="J76" s="2"/>
      <c r="K76" s="11"/>
      <c r="L76" s="2"/>
      <c r="M76" s="124"/>
      <c r="N76" s="125"/>
    </row>
    <row r="77" spans="2:14" x14ac:dyDescent="0.3">
      <c r="B77" s="17"/>
      <c r="D77" t="s">
        <v>21</v>
      </c>
      <c r="J77" s="2"/>
      <c r="K77" s="11"/>
      <c r="L77" s="2"/>
      <c r="M77" s="124"/>
      <c r="N77" s="125"/>
    </row>
    <row r="78" spans="2:14" x14ac:dyDescent="0.3">
      <c r="B78" s="17"/>
      <c r="J78" s="2"/>
      <c r="K78" s="11"/>
      <c r="L78" s="2"/>
      <c r="M78" s="124"/>
      <c r="N78" s="125"/>
    </row>
    <row r="79" spans="2:14" x14ac:dyDescent="0.3">
      <c r="B79" s="17"/>
      <c r="J79" s="2"/>
      <c r="K79" s="11"/>
      <c r="L79" s="2"/>
      <c r="M79" s="124"/>
      <c r="N79" s="125"/>
    </row>
    <row r="80" spans="2:14" x14ac:dyDescent="0.3">
      <c r="B80" s="17"/>
      <c r="J80" s="2"/>
      <c r="K80" s="11"/>
      <c r="L80" s="2"/>
      <c r="M80" s="126"/>
      <c r="N80" s="127"/>
    </row>
    <row r="81" spans="2:17" x14ac:dyDescent="0.3">
      <c r="B81" s="21"/>
      <c r="C81" s="4"/>
      <c r="D81" s="4"/>
      <c r="E81" s="4"/>
      <c r="F81" s="4"/>
      <c r="G81" s="4"/>
      <c r="H81" s="4"/>
      <c r="I81" s="128" t="s">
        <v>16</v>
      </c>
      <c r="J81" s="129"/>
      <c r="K81" s="10">
        <f>K75</f>
        <v>202300</v>
      </c>
      <c r="L81" s="30" t="s">
        <v>88</v>
      </c>
      <c r="M81" s="128">
        <v>202300</v>
      </c>
      <c r="N81" s="130"/>
      <c r="P81">
        <f>+M81*2%</f>
        <v>4046</v>
      </c>
      <c r="Q81">
        <f>+M81-P81</f>
        <v>198254</v>
      </c>
    </row>
    <row r="82" spans="2:17" x14ac:dyDescent="0.3">
      <c r="B82" s="17"/>
      <c r="N82" s="18"/>
    </row>
    <row r="83" spans="2:17" x14ac:dyDescent="0.3">
      <c r="B83" s="15" t="s">
        <v>17</v>
      </c>
      <c r="C83" s="131" t="s">
        <v>22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/>
      <c r="Q83">
        <f>+Q81+Q51</f>
        <v>443058</v>
      </c>
    </row>
    <row r="84" spans="2:17" x14ac:dyDescent="0.3">
      <c r="B84" s="21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4"/>
      <c r="Q84">
        <f>+Q83+Q20</f>
        <v>632590</v>
      </c>
    </row>
    <row r="85" spans="2:17" x14ac:dyDescent="0.3">
      <c r="B85" s="17"/>
      <c r="N85" s="18"/>
    </row>
    <row r="86" spans="2:17" x14ac:dyDescent="0.3">
      <c r="B86" s="17"/>
      <c r="N86" s="18"/>
    </row>
    <row r="87" spans="2:17" x14ac:dyDescent="0.3">
      <c r="B87" s="17"/>
      <c r="L87" s="8" t="s">
        <v>18</v>
      </c>
      <c r="N87" s="18"/>
    </row>
    <row r="88" spans="2:17" x14ac:dyDescent="0.3">
      <c r="B88" s="17"/>
      <c r="L88" s="8"/>
      <c r="N88" s="18"/>
    </row>
    <row r="89" spans="2:17" x14ac:dyDescent="0.3">
      <c r="B89" s="17"/>
      <c r="L89" s="8"/>
      <c r="N89" s="18"/>
    </row>
    <row r="90" spans="2:17" ht="15" thickBot="1" x14ac:dyDescent="0.35"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4" t="s">
        <v>19</v>
      </c>
      <c r="M90" s="23"/>
      <c r="N90" s="25"/>
    </row>
    <row r="93" spans="2:17" ht="15" thickBot="1" x14ac:dyDescent="0.35"/>
    <row r="94" spans="2:17" ht="23.4" x14ac:dyDescent="0.45">
      <c r="B94" s="135" t="s">
        <v>11</v>
      </c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7"/>
    </row>
    <row r="95" spans="2:17" x14ac:dyDescent="0.3">
      <c r="B95" s="138" t="s">
        <v>12</v>
      </c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40"/>
    </row>
    <row r="96" spans="2:17" ht="15.6" x14ac:dyDescent="0.3">
      <c r="B96" s="141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3"/>
    </row>
    <row r="97" spans="2:14" ht="15.6" x14ac:dyDescent="0.3">
      <c r="B97" s="144" t="s">
        <v>0</v>
      </c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6"/>
    </row>
    <row r="98" spans="2:14" x14ac:dyDescent="0.3">
      <c r="B98" s="15" t="s">
        <v>1</v>
      </c>
      <c r="C98" s="14"/>
      <c r="D98" s="14"/>
      <c r="E98" s="14"/>
      <c r="F98" s="14"/>
      <c r="G98" s="13"/>
      <c r="H98" s="12"/>
      <c r="I98" s="14"/>
      <c r="J98" s="14" t="s">
        <v>20</v>
      </c>
      <c r="K98" s="14" t="s">
        <v>133</v>
      </c>
      <c r="L98" s="14"/>
      <c r="M98" s="14"/>
      <c r="N98" s="16"/>
    </row>
    <row r="99" spans="2:14" x14ac:dyDescent="0.3">
      <c r="B99" s="17" t="s">
        <v>2</v>
      </c>
      <c r="G99" s="2"/>
      <c r="H99" s="1"/>
      <c r="J99" t="s">
        <v>13</v>
      </c>
      <c r="K99" t="s">
        <v>134</v>
      </c>
      <c r="N99" s="18"/>
    </row>
    <row r="100" spans="2:14" x14ac:dyDescent="0.3">
      <c r="B100" s="17" t="s">
        <v>23</v>
      </c>
      <c r="G100" s="2"/>
      <c r="H100" s="1"/>
      <c r="N100" s="18"/>
    </row>
    <row r="101" spans="2:14" x14ac:dyDescent="0.3">
      <c r="B101" s="17" t="s">
        <v>24</v>
      </c>
      <c r="G101" s="2"/>
      <c r="H101" s="1"/>
      <c r="N101" s="18"/>
    </row>
    <row r="102" spans="2:14" x14ac:dyDescent="0.3">
      <c r="B102" s="17" t="s">
        <v>3</v>
      </c>
      <c r="C102" t="s">
        <v>4</v>
      </c>
      <c r="G102" s="2"/>
      <c r="H102" s="1"/>
      <c r="N102" s="18"/>
    </row>
    <row r="103" spans="2:14" x14ac:dyDescent="0.3">
      <c r="B103" s="17" t="s">
        <v>5</v>
      </c>
      <c r="C103" s="4"/>
      <c r="D103" s="4"/>
      <c r="E103" s="4"/>
      <c r="F103" s="4"/>
      <c r="G103" s="5"/>
      <c r="H103" s="3"/>
      <c r="I103" s="4"/>
      <c r="J103" s="4"/>
      <c r="K103" s="4"/>
      <c r="L103" s="4"/>
      <c r="M103" s="4"/>
      <c r="N103" s="19"/>
    </row>
    <row r="104" spans="2:14" x14ac:dyDescent="0.3">
      <c r="B104" s="147" t="s">
        <v>6</v>
      </c>
      <c r="C104" s="148"/>
      <c r="D104" s="148"/>
      <c r="E104" s="148"/>
      <c r="F104" s="148"/>
      <c r="G104" s="148"/>
      <c r="H104" s="148"/>
      <c r="I104" s="148"/>
      <c r="J104" s="129"/>
      <c r="K104" s="9" t="s">
        <v>8</v>
      </c>
      <c r="L104" s="7" t="s">
        <v>9</v>
      </c>
      <c r="M104" s="6" t="s">
        <v>10</v>
      </c>
      <c r="N104" s="20"/>
    </row>
    <row r="105" spans="2:14" x14ac:dyDescent="0.3">
      <c r="B105" s="15"/>
      <c r="C105" s="14"/>
      <c r="D105" s="14"/>
      <c r="E105" s="14"/>
      <c r="F105" s="14"/>
      <c r="G105" s="14"/>
      <c r="H105" s="14"/>
      <c r="I105" s="14"/>
      <c r="J105" s="13"/>
      <c r="K105" s="11"/>
      <c r="L105" s="2"/>
      <c r="M105" s="121"/>
      <c r="N105" s="122"/>
    </row>
    <row r="106" spans="2:14" x14ac:dyDescent="0.3">
      <c r="B106" s="118" t="s">
        <v>159</v>
      </c>
      <c r="C106" s="119"/>
      <c r="D106" s="119"/>
      <c r="E106" s="119"/>
      <c r="F106" s="119"/>
      <c r="G106" s="119"/>
      <c r="H106" s="119"/>
      <c r="I106" s="119"/>
      <c r="J106" s="123"/>
      <c r="K106" s="11">
        <v>152700</v>
      </c>
      <c r="L106" s="29">
        <v>0</v>
      </c>
      <c r="M106" s="124">
        <f>K106</f>
        <v>152700</v>
      </c>
      <c r="N106" s="125"/>
    </row>
    <row r="107" spans="2:14" x14ac:dyDescent="0.3">
      <c r="B107" s="17"/>
      <c r="J107" s="2"/>
      <c r="K107" s="11"/>
      <c r="L107" s="2"/>
      <c r="M107" s="124"/>
      <c r="N107" s="125"/>
    </row>
    <row r="108" spans="2:14" x14ac:dyDescent="0.3">
      <c r="B108" s="17"/>
      <c r="D108" t="s">
        <v>21</v>
      </c>
      <c r="J108" s="2"/>
      <c r="K108" s="11"/>
      <c r="L108" s="2"/>
      <c r="M108" s="124"/>
      <c r="N108" s="125"/>
    </row>
    <row r="109" spans="2:14" x14ac:dyDescent="0.3">
      <c r="B109" s="17"/>
      <c r="J109" s="2"/>
      <c r="K109" s="11"/>
      <c r="L109" s="2"/>
      <c r="M109" s="124"/>
      <c r="N109" s="125"/>
    </row>
    <row r="110" spans="2:14" x14ac:dyDescent="0.3">
      <c r="B110" s="17"/>
      <c r="J110" s="2"/>
      <c r="K110" s="11"/>
      <c r="L110" s="2"/>
      <c r="M110" s="124"/>
      <c r="N110" s="125"/>
    </row>
    <row r="111" spans="2:14" x14ac:dyDescent="0.3">
      <c r="B111" s="17"/>
      <c r="J111" s="2"/>
      <c r="K111" s="11"/>
      <c r="L111" s="2"/>
      <c r="M111" s="126"/>
      <c r="N111" s="127"/>
    </row>
    <row r="112" spans="2:14" x14ac:dyDescent="0.3">
      <c r="B112" s="21"/>
      <c r="C112" s="4"/>
      <c r="D112" s="4"/>
      <c r="E112" s="4"/>
      <c r="F112" s="4"/>
      <c r="G112" s="4"/>
      <c r="H112" s="4"/>
      <c r="I112" s="128" t="s">
        <v>16</v>
      </c>
      <c r="J112" s="129"/>
      <c r="K112" s="10">
        <f>K106</f>
        <v>152700</v>
      </c>
      <c r="L112" s="30" t="s">
        <v>88</v>
      </c>
      <c r="M112" s="128">
        <f>M106</f>
        <v>152700</v>
      </c>
      <c r="N112" s="130"/>
    </row>
    <row r="113" spans="2:14" x14ac:dyDescent="0.3">
      <c r="B113" s="17"/>
      <c r="N113" s="18"/>
    </row>
    <row r="114" spans="2:14" x14ac:dyDescent="0.3">
      <c r="B114" s="15" t="s">
        <v>17</v>
      </c>
      <c r="C114" s="131" t="s">
        <v>22</v>
      </c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2"/>
    </row>
    <row r="115" spans="2:14" x14ac:dyDescent="0.3">
      <c r="B115" s="21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4"/>
    </row>
    <row r="116" spans="2:14" x14ac:dyDescent="0.3">
      <c r="B116" s="17"/>
      <c r="N116" s="18"/>
    </row>
    <row r="117" spans="2:14" x14ac:dyDescent="0.3">
      <c r="B117" s="17"/>
      <c r="N117" s="18"/>
    </row>
    <row r="118" spans="2:14" x14ac:dyDescent="0.3">
      <c r="B118" s="17"/>
      <c r="L118" s="8" t="s">
        <v>18</v>
      </c>
      <c r="N118" s="18"/>
    </row>
    <row r="119" spans="2:14" x14ac:dyDescent="0.3">
      <c r="B119" s="17"/>
      <c r="L119" s="8"/>
      <c r="N119" s="18"/>
    </row>
    <row r="120" spans="2:14" x14ac:dyDescent="0.3">
      <c r="B120" s="17"/>
      <c r="L120" s="8"/>
      <c r="N120" s="18"/>
    </row>
    <row r="121" spans="2:14" ht="15" thickBot="1" x14ac:dyDescent="0.35">
      <c r="B121" s="22"/>
      <c r="C121" s="23"/>
      <c r="D121" s="23"/>
      <c r="E121" s="23"/>
      <c r="F121" s="23"/>
      <c r="G121" s="23"/>
      <c r="H121" s="23"/>
      <c r="I121" s="23"/>
      <c r="J121" s="23"/>
      <c r="K121" s="23"/>
      <c r="L121" s="24" t="s">
        <v>19</v>
      </c>
      <c r="M121" s="23"/>
      <c r="N121" s="25"/>
    </row>
    <row r="124" spans="2:14" ht="15" thickBot="1" x14ac:dyDescent="0.35"/>
    <row r="125" spans="2:14" ht="23.4" x14ac:dyDescent="0.45">
      <c r="B125" s="135" t="s">
        <v>11</v>
      </c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7"/>
    </row>
    <row r="126" spans="2:14" x14ac:dyDescent="0.3">
      <c r="B126" s="138" t="s">
        <v>12</v>
      </c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40"/>
    </row>
    <row r="127" spans="2:14" ht="15.6" x14ac:dyDescent="0.3">
      <c r="B127" s="141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3"/>
    </row>
    <row r="128" spans="2:14" ht="15.6" x14ac:dyDescent="0.3">
      <c r="B128" s="144" t="s">
        <v>0</v>
      </c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6"/>
    </row>
    <row r="129" spans="2:14" x14ac:dyDescent="0.3">
      <c r="B129" s="15" t="s">
        <v>1</v>
      </c>
      <c r="C129" s="14"/>
      <c r="D129" s="14"/>
      <c r="E129" s="14"/>
      <c r="F129" s="14"/>
      <c r="G129" s="13"/>
      <c r="H129" s="12"/>
      <c r="I129" s="14"/>
      <c r="J129" s="14" t="s">
        <v>20</v>
      </c>
      <c r="K129" s="14" t="s">
        <v>160</v>
      </c>
      <c r="L129" s="14"/>
      <c r="M129" s="14"/>
      <c r="N129" s="16"/>
    </row>
    <row r="130" spans="2:14" x14ac:dyDescent="0.3">
      <c r="B130" s="17" t="s">
        <v>2</v>
      </c>
      <c r="G130" s="2"/>
      <c r="H130" s="1"/>
      <c r="J130" t="s">
        <v>13</v>
      </c>
      <c r="K130" t="s">
        <v>161</v>
      </c>
      <c r="N130" s="18"/>
    </row>
    <row r="131" spans="2:14" x14ac:dyDescent="0.3">
      <c r="B131" s="17" t="s">
        <v>23</v>
      </c>
      <c r="G131" s="2"/>
      <c r="H131" s="1"/>
      <c r="N131" s="18"/>
    </row>
    <row r="132" spans="2:14" x14ac:dyDescent="0.3">
      <c r="B132" s="17" t="s">
        <v>24</v>
      </c>
      <c r="G132" s="2"/>
      <c r="H132" s="1"/>
      <c r="N132" s="18"/>
    </row>
    <row r="133" spans="2:14" x14ac:dyDescent="0.3">
      <c r="B133" s="17" t="s">
        <v>3</v>
      </c>
      <c r="C133" t="s">
        <v>4</v>
      </c>
      <c r="G133" s="2"/>
      <c r="H133" s="1"/>
      <c r="N133" s="18"/>
    </row>
    <row r="134" spans="2:14" x14ac:dyDescent="0.3">
      <c r="B134" s="17" t="s">
        <v>5</v>
      </c>
      <c r="C134" s="4"/>
      <c r="D134" s="4"/>
      <c r="E134" s="4"/>
      <c r="F134" s="4"/>
      <c r="G134" s="5"/>
      <c r="H134" s="3"/>
      <c r="I134" s="4"/>
      <c r="J134" s="4"/>
      <c r="K134" s="4"/>
      <c r="L134" s="4"/>
      <c r="M134" s="4"/>
      <c r="N134" s="19"/>
    </row>
    <row r="135" spans="2:14" x14ac:dyDescent="0.3">
      <c r="B135" s="147" t="s">
        <v>6</v>
      </c>
      <c r="C135" s="148"/>
      <c r="D135" s="148"/>
      <c r="E135" s="148"/>
      <c r="F135" s="148"/>
      <c r="G135" s="148"/>
      <c r="H135" s="148"/>
      <c r="I135" s="148"/>
      <c r="J135" s="129"/>
      <c r="K135" s="9" t="s">
        <v>8</v>
      </c>
      <c r="L135" s="7" t="s">
        <v>9</v>
      </c>
      <c r="M135" s="6" t="s">
        <v>10</v>
      </c>
      <c r="N135" s="20"/>
    </row>
    <row r="136" spans="2:14" x14ac:dyDescent="0.3">
      <c r="B136" s="15"/>
      <c r="C136" s="14"/>
      <c r="D136" s="14"/>
      <c r="E136" s="14"/>
      <c r="F136" s="14"/>
      <c r="G136" s="14"/>
      <c r="H136" s="14"/>
      <c r="I136" s="14"/>
      <c r="J136" s="13"/>
      <c r="K136" s="11"/>
      <c r="L136" s="2"/>
      <c r="M136" s="121"/>
      <c r="N136" s="122"/>
    </row>
    <row r="137" spans="2:14" x14ac:dyDescent="0.3">
      <c r="B137" s="118" t="s">
        <v>162</v>
      </c>
      <c r="C137" s="119"/>
      <c r="D137" s="119"/>
      <c r="E137" s="119"/>
      <c r="F137" s="119"/>
      <c r="G137" s="119"/>
      <c r="H137" s="119"/>
      <c r="I137" s="119"/>
      <c r="J137" s="123"/>
      <c r="K137" s="11">
        <v>242700</v>
      </c>
      <c r="L137" s="29">
        <v>0</v>
      </c>
      <c r="M137" s="124">
        <f>K137</f>
        <v>242700</v>
      </c>
      <c r="N137" s="125"/>
    </row>
    <row r="138" spans="2:14" x14ac:dyDescent="0.3">
      <c r="B138" s="17"/>
      <c r="J138" s="2"/>
      <c r="K138" s="11"/>
      <c r="L138" s="2"/>
      <c r="M138" s="124"/>
      <c r="N138" s="125"/>
    </row>
    <row r="139" spans="2:14" x14ac:dyDescent="0.3">
      <c r="B139" s="17"/>
      <c r="D139" t="s">
        <v>21</v>
      </c>
      <c r="J139" s="2"/>
      <c r="K139" s="11"/>
      <c r="L139" s="2"/>
      <c r="M139" s="124"/>
      <c r="N139" s="125"/>
    </row>
    <row r="140" spans="2:14" x14ac:dyDescent="0.3">
      <c r="B140" s="17"/>
      <c r="J140" s="2"/>
      <c r="K140" s="11"/>
      <c r="L140" s="2"/>
      <c r="M140" s="124"/>
      <c r="N140" s="125"/>
    </row>
    <row r="141" spans="2:14" x14ac:dyDescent="0.3">
      <c r="B141" s="17"/>
      <c r="J141" s="2"/>
      <c r="K141" s="11"/>
      <c r="L141" s="2"/>
      <c r="M141" s="124"/>
      <c r="N141" s="125"/>
    </row>
    <row r="142" spans="2:14" x14ac:dyDescent="0.3">
      <c r="B142" s="17"/>
      <c r="J142" s="2"/>
      <c r="K142" s="11"/>
      <c r="L142" s="2"/>
      <c r="M142" s="126"/>
      <c r="N142" s="127"/>
    </row>
    <row r="143" spans="2:14" x14ac:dyDescent="0.3">
      <c r="B143" s="21"/>
      <c r="C143" s="4"/>
      <c r="D143" s="4"/>
      <c r="E143" s="4"/>
      <c r="F143" s="4"/>
      <c r="G143" s="4"/>
      <c r="H143" s="4"/>
      <c r="I143" s="128" t="s">
        <v>16</v>
      </c>
      <c r="J143" s="129"/>
      <c r="K143" s="10">
        <f>K137</f>
        <v>242700</v>
      </c>
      <c r="L143" s="30" t="s">
        <v>88</v>
      </c>
      <c r="M143" s="128">
        <f>M137</f>
        <v>242700</v>
      </c>
      <c r="N143" s="130"/>
    </row>
    <row r="144" spans="2:14" x14ac:dyDescent="0.3">
      <c r="B144" s="17"/>
      <c r="N144" s="18"/>
    </row>
    <row r="145" spans="2:14" x14ac:dyDescent="0.3">
      <c r="B145" s="15" t="s">
        <v>17</v>
      </c>
      <c r="C145" s="131" t="s">
        <v>22</v>
      </c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2"/>
    </row>
    <row r="146" spans="2:14" x14ac:dyDescent="0.3">
      <c r="B146" s="21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4"/>
    </row>
    <row r="147" spans="2:14" x14ac:dyDescent="0.3">
      <c r="B147" s="17"/>
      <c r="N147" s="18"/>
    </row>
    <row r="148" spans="2:14" x14ac:dyDescent="0.3">
      <c r="B148" s="17"/>
      <c r="N148" s="18"/>
    </row>
    <row r="149" spans="2:14" x14ac:dyDescent="0.3">
      <c r="B149" s="17"/>
      <c r="L149" s="8" t="s">
        <v>18</v>
      </c>
      <c r="N149" s="18"/>
    </row>
    <row r="150" spans="2:14" x14ac:dyDescent="0.3">
      <c r="B150" s="17"/>
      <c r="L150" s="8"/>
      <c r="N150" s="18"/>
    </row>
    <row r="151" spans="2:14" x14ac:dyDescent="0.3">
      <c r="B151" s="17"/>
      <c r="L151" s="8"/>
      <c r="N151" s="18"/>
    </row>
    <row r="152" spans="2:14" ht="15" thickBot="1" x14ac:dyDescent="0.35">
      <c r="B152" s="22"/>
      <c r="C152" s="23"/>
      <c r="D152" s="23"/>
      <c r="E152" s="23"/>
      <c r="F152" s="23"/>
      <c r="G152" s="23"/>
      <c r="H152" s="23"/>
      <c r="I152" s="23"/>
      <c r="J152" s="23"/>
      <c r="K152" s="23"/>
      <c r="L152" s="24" t="s">
        <v>19</v>
      </c>
      <c r="M152" s="23"/>
      <c r="N152" s="25"/>
    </row>
    <row r="154" spans="2:14" ht="15" thickBot="1" x14ac:dyDescent="0.35"/>
    <row r="155" spans="2:14" ht="23.4" x14ac:dyDescent="0.45">
      <c r="B155" s="135" t="s">
        <v>11</v>
      </c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7"/>
    </row>
    <row r="156" spans="2:14" x14ac:dyDescent="0.3">
      <c r="B156" s="138" t="s">
        <v>12</v>
      </c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40"/>
    </row>
    <row r="157" spans="2:14" ht="15.6" x14ac:dyDescent="0.3">
      <c r="B157" s="141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3"/>
    </row>
    <row r="158" spans="2:14" ht="15.6" x14ac:dyDescent="0.3">
      <c r="B158" s="144" t="s">
        <v>0</v>
      </c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6"/>
    </row>
    <row r="159" spans="2:14" x14ac:dyDescent="0.3">
      <c r="B159" s="15" t="s">
        <v>1</v>
      </c>
      <c r="C159" s="14"/>
      <c r="D159" s="14"/>
      <c r="E159" s="14"/>
      <c r="F159" s="14"/>
      <c r="G159" s="13"/>
      <c r="H159" s="12"/>
      <c r="I159" s="14"/>
      <c r="J159" s="14" t="s">
        <v>20</v>
      </c>
      <c r="K159" s="14" t="s">
        <v>191</v>
      </c>
      <c r="L159" s="14"/>
      <c r="M159" s="14"/>
      <c r="N159" s="16"/>
    </row>
    <row r="160" spans="2:14" x14ac:dyDescent="0.3">
      <c r="B160" s="17" t="s">
        <v>2</v>
      </c>
      <c r="G160" s="2"/>
      <c r="H160" s="1"/>
      <c r="J160" t="s">
        <v>13</v>
      </c>
      <c r="K160" t="s">
        <v>192</v>
      </c>
      <c r="N160" s="18"/>
    </row>
    <row r="161" spans="2:14" x14ac:dyDescent="0.3">
      <c r="B161" s="17" t="s">
        <v>23</v>
      </c>
      <c r="G161" s="2"/>
      <c r="H161" s="1"/>
      <c r="N161" s="18"/>
    </row>
    <row r="162" spans="2:14" x14ac:dyDescent="0.3">
      <c r="B162" s="17" t="s">
        <v>24</v>
      </c>
      <c r="G162" s="2"/>
      <c r="H162" s="1"/>
      <c r="N162" s="18"/>
    </row>
    <row r="163" spans="2:14" x14ac:dyDescent="0.3">
      <c r="B163" s="17" t="s">
        <v>3</v>
      </c>
      <c r="C163" t="s">
        <v>4</v>
      </c>
      <c r="G163" s="2"/>
      <c r="H163" s="1"/>
      <c r="N163" s="18"/>
    </row>
    <row r="164" spans="2:14" x14ac:dyDescent="0.3">
      <c r="B164" s="17" t="s">
        <v>5</v>
      </c>
      <c r="C164" s="4"/>
      <c r="D164" s="4"/>
      <c r="E164" s="4"/>
      <c r="F164" s="4"/>
      <c r="G164" s="5"/>
      <c r="H164" s="3"/>
      <c r="I164" s="4"/>
      <c r="J164" s="4"/>
      <c r="K164" s="4"/>
      <c r="L164" s="4"/>
      <c r="M164" s="4"/>
      <c r="N164" s="19"/>
    </row>
    <row r="165" spans="2:14" x14ac:dyDescent="0.3">
      <c r="B165" s="147" t="s">
        <v>6</v>
      </c>
      <c r="C165" s="148"/>
      <c r="D165" s="148"/>
      <c r="E165" s="148"/>
      <c r="F165" s="148"/>
      <c r="G165" s="148"/>
      <c r="H165" s="148"/>
      <c r="I165" s="148"/>
      <c r="J165" s="129"/>
      <c r="K165" s="9" t="s">
        <v>8</v>
      </c>
      <c r="L165" s="7" t="s">
        <v>9</v>
      </c>
      <c r="M165" s="6" t="s">
        <v>10</v>
      </c>
      <c r="N165" s="20"/>
    </row>
    <row r="166" spans="2:14" x14ac:dyDescent="0.3">
      <c r="B166" s="15"/>
      <c r="C166" s="14"/>
      <c r="D166" s="14"/>
      <c r="E166" s="14"/>
      <c r="F166" s="14"/>
      <c r="G166" s="14"/>
      <c r="H166" s="14"/>
      <c r="I166" s="14"/>
      <c r="J166" s="13"/>
      <c r="K166" s="11"/>
      <c r="L166" s="2"/>
      <c r="M166" s="121"/>
      <c r="N166" s="122"/>
    </row>
    <row r="167" spans="2:14" x14ac:dyDescent="0.3">
      <c r="B167" s="118" t="s">
        <v>193</v>
      </c>
      <c r="C167" s="119"/>
      <c r="D167" s="119"/>
      <c r="E167" s="119"/>
      <c r="F167" s="119"/>
      <c r="G167" s="119"/>
      <c r="H167" s="119"/>
      <c r="I167" s="119"/>
      <c r="J167" s="123"/>
      <c r="K167" s="11">
        <v>286200</v>
      </c>
      <c r="L167" s="29">
        <v>0</v>
      </c>
      <c r="M167" s="124">
        <f>K167</f>
        <v>286200</v>
      </c>
      <c r="N167" s="125"/>
    </row>
    <row r="168" spans="2:14" x14ac:dyDescent="0.3">
      <c r="B168" s="17"/>
      <c r="J168" s="2"/>
      <c r="K168" s="11"/>
      <c r="L168" s="2"/>
      <c r="M168" s="124"/>
      <c r="N168" s="125"/>
    </row>
    <row r="169" spans="2:14" x14ac:dyDescent="0.3">
      <c r="B169" s="17"/>
      <c r="D169" t="s">
        <v>21</v>
      </c>
      <c r="J169" s="2"/>
      <c r="K169" s="11"/>
      <c r="L169" s="2"/>
      <c r="M169" s="124"/>
      <c r="N169" s="125"/>
    </row>
    <row r="170" spans="2:14" x14ac:dyDescent="0.3">
      <c r="B170" s="17"/>
      <c r="J170" s="2"/>
      <c r="K170" s="11"/>
      <c r="L170" s="2"/>
      <c r="M170" s="124"/>
      <c r="N170" s="125"/>
    </row>
    <row r="171" spans="2:14" x14ac:dyDescent="0.3">
      <c r="B171" s="17"/>
      <c r="J171" s="2"/>
      <c r="K171" s="11"/>
      <c r="L171" s="2"/>
      <c r="M171" s="124"/>
      <c r="N171" s="125"/>
    </row>
    <row r="172" spans="2:14" x14ac:dyDescent="0.3">
      <c r="B172" s="17"/>
      <c r="J172" s="2"/>
      <c r="K172" s="11"/>
      <c r="L172" s="2"/>
      <c r="M172" s="126"/>
      <c r="N172" s="127"/>
    </row>
    <row r="173" spans="2:14" x14ac:dyDescent="0.3">
      <c r="B173" s="21"/>
      <c r="C173" s="4"/>
      <c r="D173" s="4"/>
      <c r="E173" s="4"/>
      <c r="F173" s="4"/>
      <c r="G173" s="4"/>
      <c r="H173" s="4"/>
      <c r="I173" s="128" t="s">
        <v>16</v>
      </c>
      <c r="J173" s="129"/>
      <c r="K173" s="10">
        <f>K167</f>
        <v>286200</v>
      </c>
      <c r="L173" s="30" t="s">
        <v>88</v>
      </c>
      <c r="M173" s="128">
        <f>M167</f>
        <v>286200</v>
      </c>
      <c r="N173" s="130"/>
    </row>
    <row r="174" spans="2:14" x14ac:dyDescent="0.3">
      <c r="B174" s="17"/>
      <c r="N174" s="18"/>
    </row>
    <row r="175" spans="2:14" x14ac:dyDescent="0.3">
      <c r="B175" s="15" t="s">
        <v>17</v>
      </c>
      <c r="C175" s="131" t="s">
        <v>22</v>
      </c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2"/>
    </row>
    <row r="176" spans="2:14" x14ac:dyDescent="0.3">
      <c r="B176" s="21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4"/>
    </row>
    <row r="177" spans="2:14" x14ac:dyDescent="0.3">
      <c r="B177" s="17"/>
      <c r="N177" s="18"/>
    </row>
    <row r="178" spans="2:14" x14ac:dyDescent="0.3">
      <c r="B178" s="17"/>
      <c r="N178" s="18"/>
    </row>
    <row r="179" spans="2:14" x14ac:dyDescent="0.3">
      <c r="B179" s="17"/>
      <c r="L179" s="8" t="s">
        <v>18</v>
      </c>
      <c r="N179" s="18"/>
    </row>
    <row r="180" spans="2:14" x14ac:dyDescent="0.3">
      <c r="B180" s="17"/>
      <c r="L180" s="8"/>
      <c r="N180" s="18"/>
    </row>
    <row r="181" spans="2:14" x14ac:dyDescent="0.3">
      <c r="B181" s="17"/>
      <c r="L181" s="8"/>
      <c r="N181" s="18"/>
    </row>
    <row r="182" spans="2:14" ht="15" thickBot="1" x14ac:dyDescent="0.35">
      <c r="B182" s="22"/>
      <c r="C182" s="23"/>
      <c r="D182" s="23"/>
      <c r="E182" s="23"/>
      <c r="F182" s="23"/>
      <c r="G182" s="23"/>
      <c r="H182" s="23"/>
      <c r="I182" s="23"/>
      <c r="J182" s="23"/>
      <c r="K182" s="23"/>
      <c r="L182" s="24" t="s">
        <v>19</v>
      </c>
      <c r="M182" s="23"/>
      <c r="N182" s="25"/>
    </row>
    <row r="184" spans="2:14" ht="15" thickBot="1" x14ac:dyDescent="0.35"/>
    <row r="185" spans="2:14" ht="23.4" x14ac:dyDescent="0.45">
      <c r="B185" s="135" t="s">
        <v>11</v>
      </c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7"/>
    </row>
    <row r="186" spans="2:14" x14ac:dyDescent="0.3">
      <c r="B186" s="138" t="s">
        <v>12</v>
      </c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40"/>
    </row>
    <row r="187" spans="2:14" ht="15.6" x14ac:dyDescent="0.3">
      <c r="B187" s="141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3"/>
    </row>
    <row r="188" spans="2:14" ht="15.6" x14ac:dyDescent="0.3">
      <c r="B188" s="144" t="s">
        <v>0</v>
      </c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6"/>
    </row>
    <row r="189" spans="2:14" x14ac:dyDescent="0.3">
      <c r="B189" s="15" t="s">
        <v>1</v>
      </c>
      <c r="C189" s="14"/>
      <c r="D189" s="14"/>
      <c r="E189" s="14"/>
      <c r="F189" s="14"/>
      <c r="G189" s="13"/>
      <c r="H189" s="12"/>
      <c r="I189" s="14"/>
      <c r="J189" s="14" t="s">
        <v>20</v>
      </c>
      <c r="K189" s="14" t="s">
        <v>210</v>
      </c>
      <c r="L189" s="14"/>
      <c r="M189" s="14"/>
      <c r="N189" s="16"/>
    </row>
    <row r="190" spans="2:14" x14ac:dyDescent="0.3">
      <c r="B190" s="17" t="s">
        <v>2</v>
      </c>
      <c r="G190" s="2"/>
      <c r="H190" s="1"/>
      <c r="J190" t="s">
        <v>13</v>
      </c>
      <c r="K190" t="s">
        <v>206</v>
      </c>
      <c r="N190" s="18"/>
    </row>
    <row r="191" spans="2:14" x14ac:dyDescent="0.3">
      <c r="B191" s="17" t="s">
        <v>23</v>
      </c>
      <c r="G191" s="2"/>
      <c r="H191" s="1"/>
      <c r="N191" s="18"/>
    </row>
    <row r="192" spans="2:14" x14ac:dyDescent="0.3">
      <c r="B192" s="17" t="s">
        <v>24</v>
      </c>
      <c r="G192" s="2"/>
      <c r="H192" s="1"/>
      <c r="N192" s="18"/>
    </row>
    <row r="193" spans="2:14" x14ac:dyDescent="0.3">
      <c r="B193" s="17" t="s">
        <v>3</v>
      </c>
      <c r="C193" t="s">
        <v>4</v>
      </c>
      <c r="G193" s="2"/>
      <c r="H193" s="1"/>
      <c r="N193" s="18"/>
    </row>
    <row r="194" spans="2:14" x14ac:dyDescent="0.3">
      <c r="B194" s="17" t="s">
        <v>5</v>
      </c>
      <c r="C194" s="4"/>
      <c r="D194" s="4"/>
      <c r="E194" s="4"/>
      <c r="F194" s="4"/>
      <c r="G194" s="5"/>
      <c r="H194" s="3"/>
      <c r="I194" s="4"/>
      <c r="J194" s="4"/>
      <c r="K194" s="4"/>
      <c r="L194" s="4"/>
      <c r="M194" s="4"/>
      <c r="N194" s="19"/>
    </row>
    <row r="195" spans="2:14" x14ac:dyDescent="0.3">
      <c r="B195" s="147" t="s">
        <v>6</v>
      </c>
      <c r="C195" s="148"/>
      <c r="D195" s="148"/>
      <c r="E195" s="148"/>
      <c r="F195" s="148"/>
      <c r="G195" s="148"/>
      <c r="H195" s="148"/>
      <c r="I195" s="148"/>
      <c r="J195" s="129"/>
      <c r="K195" s="9" t="s">
        <v>8</v>
      </c>
      <c r="L195" s="7" t="s">
        <v>9</v>
      </c>
      <c r="M195" s="6" t="s">
        <v>10</v>
      </c>
      <c r="N195" s="20"/>
    </row>
    <row r="196" spans="2:14" x14ac:dyDescent="0.3">
      <c r="B196" s="15"/>
      <c r="C196" s="14"/>
      <c r="D196" s="14"/>
      <c r="E196" s="14"/>
      <c r="F196" s="14"/>
      <c r="G196" s="14"/>
      <c r="H196" s="14"/>
      <c r="I196" s="14"/>
      <c r="J196" s="13"/>
      <c r="K196" s="11"/>
      <c r="L196" s="2"/>
      <c r="M196" s="121"/>
      <c r="N196" s="122"/>
    </row>
    <row r="197" spans="2:14" x14ac:dyDescent="0.3">
      <c r="B197" s="118" t="s">
        <v>211</v>
      </c>
      <c r="C197" s="119"/>
      <c r="D197" s="119"/>
      <c r="E197" s="119"/>
      <c r="F197" s="119"/>
      <c r="G197" s="119"/>
      <c r="H197" s="119"/>
      <c r="I197" s="119"/>
      <c r="J197" s="123"/>
      <c r="K197" s="11">
        <v>381300</v>
      </c>
      <c r="L197" s="29">
        <v>0</v>
      </c>
      <c r="M197" s="124">
        <f>K197</f>
        <v>381300</v>
      </c>
      <c r="N197" s="125"/>
    </row>
    <row r="198" spans="2:14" x14ac:dyDescent="0.3">
      <c r="B198" s="17"/>
      <c r="J198" s="2"/>
      <c r="K198" s="11"/>
      <c r="L198" s="2"/>
      <c r="M198" s="124"/>
      <c r="N198" s="125"/>
    </row>
    <row r="199" spans="2:14" x14ac:dyDescent="0.3">
      <c r="B199" s="17"/>
      <c r="D199" t="s">
        <v>21</v>
      </c>
      <c r="J199" s="2"/>
      <c r="K199" s="11"/>
      <c r="L199" s="2"/>
      <c r="M199" s="124"/>
      <c r="N199" s="125"/>
    </row>
    <row r="200" spans="2:14" x14ac:dyDescent="0.3">
      <c r="B200" s="17"/>
      <c r="J200" s="2"/>
      <c r="K200" s="11"/>
      <c r="L200" s="2"/>
      <c r="M200" s="124"/>
      <c r="N200" s="125"/>
    </row>
    <row r="201" spans="2:14" x14ac:dyDescent="0.3">
      <c r="B201" s="17"/>
      <c r="J201" s="2"/>
      <c r="K201" s="11"/>
      <c r="L201" s="2"/>
      <c r="M201" s="124"/>
      <c r="N201" s="125"/>
    </row>
    <row r="202" spans="2:14" x14ac:dyDescent="0.3">
      <c r="B202" s="17"/>
      <c r="J202" s="2"/>
      <c r="K202" s="11"/>
      <c r="L202" s="2"/>
      <c r="M202" s="126"/>
      <c r="N202" s="127"/>
    </row>
    <row r="203" spans="2:14" x14ac:dyDescent="0.3">
      <c r="B203" s="21"/>
      <c r="C203" s="4"/>
      <c r="D203" s="4"/>
      <c r="E203" s="4"/>
      <c r="F203" s="4"/>
      <c r="G203" s="4"/>
      <c r="H203" s="4"/>
      <c r="I203" s="128" t="s">
        <v>16</v>
      </c>
      <c r="J203" s="129"/>
      <c r="K203" s="10">
        <f>K197</f>
        <v>381300</v>
      </c>
      <c r="L203" s="30" t="s">
        <v>88</v>
      </c>
      <c r="M203" s="128">
        <f>M197</f>
        <v>381300</v>
      </c>
      <c r="N203" s="130"/>
    </row>
    <row r="204" spans="2:14" x14ac:dyDescent="0.3">
      <c r="B204" s="17"/>
      <c r="N204" s="18"/>
    </row>
    <row r="205" spans="2:14" x14ac:dyDescent="0.3">
      <c r="B205" s="15" t="s">
        <v>17</v>
      </c>
      <c r="C205" s="131" t="s">
        <v>22</v>
      </c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2"/>
    </row>
    <row r="206" spans="2:14" x14ac:dyDescent="0.3">
      <c r="B206" s="21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4"/>
    </row>
    <row r="207" spans="2:14" x14ac:dyDescent="0.3">
      <c r="B207" s="17"/>
      <c r="N207" s="18"/>
    </row>
    <row r="208" spans="2:14" x14ac:dyDescent="0.3">
      <c r="B208" s="17"/>
      <c r="N208" s="18"/>
    </row>
    <row r="209" spans="2:14" x14ac:dyDescent="0.3">
      <c r="B209" s="17"/>
      <c r="L209" s="8" t="s">
        <v>18</v>
      </c>
      <c r="N209" s="18"/>
    </row>
    <row r="210" spans="2:14" x14ac:dyDescent="0.3">
      <c r="B210" s="17"/>
      <c r="L210" s="8"/>
      <c r="N210" s="18"/>
    </row>
    <row r="211" spans="2:14" x14ac:dyDescent="0.3">
      <c r="B211" s="17"/>
      <c r="L211" s="8"/>
      <c r="N211" s="18"/>
    </row>
    <row r="212" spans="2:14" ht="15" thickBot="1" x14ac:dyDescent="0.35">
      <c r="B212" s="22"/>
      <c r="C212" s="23"/>
      <c r="D212" s="23"/>
      <c r="E212" s="23"/>
      <c r="F212" s="23"/>
      <c r="G212" s="23"/>
      <c r="H212" s="23"/>
      <c r="I212" s="23"/>
      <c r="J212" s="23"/>
      <c r="K212" s="23"/>
      <c r="L212" s="24" t="s">
        <v>19</v>
      </c>
      <c r="M212" s="23"/>
      <c r="N212" s="25"/>
    </row>
    <row r="215" spans="2:14" ht="15" thickBot="1" x14ac:dyDescent="0.35"/>
    <row r="216" spans="2:14" ht="23.4" x14ac:dyDescent="0.45">
      <c r="B216" s="135" t="s">
        <v>11</v>
      </c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7"/>
    </row>
    <row r="217" spans="2:14" x14ac:dyDescent="0.3">
      <c r="B217" s="138" t="s">
        <v>12</v>
      </c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40"/>
    </row>
    <row r="218" spans="2:14" ht="15.6" x14ac:dyDescent="0.3">
      <c r="B218" s="141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3"/>
    </row>
    <row r="219" spans="2:14" ht="15.6" x14ac:dyDescent="0.3">
      <c r="B219" s="144" t="s">
        <v>0</v>
      </c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6"/>
    </row>
    <row r="220" spans="2:14" x14ac:dyDescent="0.3">
      <c r="B220" s="15" t="s">
        <v>1</v>
      </c>
      <c r="C220" s="14"/>
      <c r="D220" s="14"/>
      <c r="E220" s="14"/>
      <c r="F220" s="14"/>
      <c r="G220" s="13"/>
      <c r="H220" s="12"/>
      <c r="I220" s="14"/>
      <c r="J220" s="14" t="s">
        <v>20</v>
      </c>
      <c r="K220" s="14" t="s">
        <v>224</v>
      </c>
      <c r="L220" s="14"/>
      <c r="M220" s="14"/>
      <c r="N220" s="16"/>
    </row>
    <row r="221" spans="2:14" x14ac:dyDescent="0.3">
      <c r="B221" s="17" t="s">
        <v>2</v>
      </c>
      <c r="G221" s="2"/>
      <c r="H221" s="1"/>
      <c r="J221" t="s">
        <v>13</v>
      </c>
      <c r="K221" t="s">
        <v>223</v>
      </c>
      <c r="N221" s="18"/>
    </row>
    <row r="222" spans="2:14" x14ac:dyDescent="0.3">
      <c r="B222" s="17" t="s">
        <v>23</v>
      </c>
      <c r="G222" s="2"/>
      <c r="H222" s="1"/>
      <c r="N222" s="18"/>
    </row>
    <row r="223" spans="2:14" x14ac:dyDescent="0.3">
      <c r="B223" s="17" t="s">
        <v>24</v>
      </c>
      <c r="G223" s="2"/>
      <c r="H223" s="1"/>
      <c r="N223" s="18"/>
    </row>
    <row r="224" spans="2:14" x14ac:dyDescent="0.3">
      <c r="B224" s="17" t="s">
        <v>3</v>
      </c>
      <c r="C224" t="s">
        <v>4</v>
      </c>
      <c r="G224" s="2"/>
      <c r="H224" s="1"/>
      <c r="N224" s="18"/>
    </row>
    <row r="225" spans="2:14" x14ac:dyDescent="0.3">
      <c r="B225" s="17" t="s">
        <v>5</v>
      </c>
      <c r="C225" s="4"/>
      <c r="D225" s="4"/>
      <c r="E225" s="4"/>
      <c r="F225" s="4"/>
      <c r="G225" s="5"/>
      <c r="H225" s="3"/>
      <c r="I225" s="4"/>
      <c r="J225" s="4"/>
      <c r="K225" s="4"/>
      <c r="L225" s="4"/>
      <c r="M225" s="4"/>
      <c r="N225" s="19"/>
    </row>
    <row r="226" spans="2:14" x14ac:dyDescent="0.3">
      <c r="B226" s="147" t="s">
        <v>6</v>
      </c>
      <c r="C226" s="148"/>
      <c r="D226" s="148"/>
      <c r="E226" s="148"/>
      <c r="F226" s="148"/>
      <c r="G226" s="148"/>
      <c r="H226" s="148"/>
      <c r="I226" s="148"/>
      <c r="J226" s="129"/>
      <c r="K226" s="9" t="s">
        <v>8</v>
      </c>
      <c r="L226" s="7" t="s">
        <v>9</v>
      </c>
      <c r="M226" s="6" t="s">
        <v>10</v>
      </c>
      <c r="N226" s="20"/>
    </row>
    <row r="227" spans="2:14" x14ac:dyDescent="0.3">
      <c r="B227" s="15"/>
      <c r="C227" s="14"/>
      <c r="D227" s="14"/>
      <c r="E227" s="14"/>
      <c r="F227" s="14"/>
      <c r="G227" s="14"/>
      <c r="H227" s="14"/>
      <c r="I227" s="14"/>
      <c r="J227" s="13"/>
      <c r="K227" s="11"/>
      <c r="L227" s="2"/>
      <c r="M227" s="121"/>
      <c r="N227" s="122"/>
    </row>
    <row r="228" spans="2:14" x14ac:dyDescent="0.3">
      <c r="B228" s="118" t="s">
        <v>225</v>
      </c>
      <c r="C228" s="119"/>
      <c r="D228" s="119"/>
      <c r="E228" s="119"/>
      <c r="F228" s="119"/>
      <c r="G228" s="119"/>
      <c r="H228" s="119"/>
      <c r="I228" s="119"/>
      <c r="J228" s="123"/>
      <c r="K228" s="11">
        <v>337400</v>
      </c>
      <c r="L228" s="29">
        <v>0</v>
      </c>
      <c r="M228" s="124">
        <f>K228</f>
        <v>337400</v>
      </c>
      <c r="N228" s="125"/>
    </row>
    <row r="229" spans="2:14" x14ac:dyDescent="0.3">
      <c r="B229" s="17"/>
      <c r="J229" s="2"/>
      <c r="K229" s="11"/>
      <c r="L229" s="2"/>
      <c r="M229" s="124"/>
      <c r="N229" s="125"/>
    </row>
    <row r="230" spans="2:14" x14ac:dyDescent="0.3">
      <c r="B230" s="17"/>
      <c r="D230" t="s">
        <v>21</v>
      </c>
      <c r="J230" s="2"/>
      <c r="K230" s="11"/>
      <c r="L230" s="2"/>
      <c r="M230" s="124"/>
      <c r="N230" s="125"/>
    </row>
    <row r="231" spans="2:14" x14ac:dyDescent="0.3">
      <c r="B231" s="17"/>
      <c r="J231" s="2"/>
      <c r="K231" s="11"/>
      <c r="L231" s="2"/>
      <c r="M231" s="124"/>
      <c r="N231" s="125"/>
    </row>
    <row r="232" spans="2:14" x14ac:dyDescent="0.3">
      <c r="B232" s="17"/>
      <c r="J232" s="2"/>
      <c r="K232" s="11"/>
      <c r="L232" s="2"/>
      <c r="M232" s="124"/>
      <c r="N232" s="125"/>
    </row>
    <row r="233" spans="2:14" x14ac:dyDescent="0.3">
      <c r="B233" s="17"/>
      <c r="J233" s="2"/>
      <c r="K233" s="11"/>
      <c r="L233" s="2"/>
      <c r="M233" s="126"/>
      <c r="N233" s="127"/>
    </row>
    <row r="234" spans="2:14" x14ac:dyDescent="0.3">
      <c r="B234" s="21"/>
      <c r="C234" s="4"/>
      <c r="D234" s="4"/>
      <c r="E234" s="4"/>
      <c r="F234" s="4"/>
      <c r="G234" s="4"/>
      <c r="H234" s="4"/>
      <c r="I234" s="128" t="s">
        <v>16</v>
      </c>
      <c r="J234" s="129"/>
      <c r="K234" s="10">
        <f>K228</f>
        <v>337400</v>
      </c>
      <c r="L234" s="30" t="s">
        <v>88</v>
      </c>
      <c r="M234" s="128">
        <f>M228</f>
        <v>337400</v>
      </c>
      <c r="N234" s="130"/>
    </row>
    <row r="235" spans="2:14" x14ac:dyDescent="0.3">
      <c r="B235" s="17"/>
      <c r="N235" s="18"/>
    </row>
    <row r="236" spans="2:14" x14ac:dyDescent="0.3">
      <c r="B236" s="15" t="s">
        <v>17</v>
      </c>
      <c r="C236" s="131" t="s">
        <v>22</v>
      </c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2"/>
    </row>
    <row r="237" spans="2:14" x14ac:dyDescent="0.3">
      <c r="B237" s="21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4"/>
    </row>
    <row r="238" spans="2:14" x14ac:dyDescent="0.3">
      <c r="B238" s="17"/>
      <c r="N238" s="18"/>
    </row>
    <row r="239" spans="2:14" x14ac:dyDescent="0.3">
      <c r="B239" s="17"/>
      <c r="N239" s="18"/>
    </row>
    <row r="240" spans="2:14" x14ac:dyDescent="0.3">
      <c r="B240" s="17"/>
      <c r="L240" s="8" t="s">
        <v>18</v>
      </c>
      <c r="N240" s="18"/>
    </row>
    <row r="241" spans="2:14" x14ac:dyDescent="0.3">
      <c r="B241" s="17"/>
      <c r="L241" s="8"/>
      <c r="N241" s="18"/>
    </row>
    <row r="242" spans="2:14" x14ac:dyDescent="0.3">
      <c r="B242" s="17"/>
      <c r="L242" s="8"/>
      <c r="N242" s="18"/>
    </row>
    <row r="243" spans="2:14" ht="15" thickBot="1" x14ac:dyDescent="0.35">
      <c r="B243" s="22"/>
      <c r="C243" s="23"/>
      <c r="D243" s="23"/>
      <c r="E243" s="23"/>
      <c r="F243" s="23"/>
      <c r="G243" s="23"/>
      <c r="H243" s="23"/>
      <c r="I243" s="23"/>
      <c r="J243" s="23"/>
      <c r="K243" s="23"/>
      <c r="L243" s="24" t="s">
        <v>19</v>
      </c>
      <c r="M243" s="23"/>
      <c r="N243" s="25"/>
    </row>
    <row r="244" spans="2:14" ht="15" thickBot="1" x14ac:dyDescent="0.35"/>
    <row r="245" spans="2:14" ht="23.4" x14ac:dyDescent="0.45">
      <c r="B245" s="135" t="s">
        <v>11</v>
      </c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7"/>
    </row>
    <row r="246" spans="2:14" x14ac:dyDescent="0.3">
      <c r="B246" s="138" t="s">
        <v>12</v>
      </c>
      <c r="C246" s="139"/>
      <c r="D246" s="139"/>
      <c r="E246" s="139"/>
      <c r="F246" s="139"/>
      <c r="G246" s="139"/>
      <c r="H246" s="139"/>
      <c r="I246" s="139"/>
      <c r="J246" s="139"/>
      <c r="K246" s="139"/>
      <c r="L246" s="139"/>
      <c r="M246" s="139"/>
      <c r="N246" s="140"/>
    </row>
    <row r="247" spans="2:14" ht="15.6" x14ac:dyDescent="0.3">
      <c r="B247" s="141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3"/>
    </row>
    <row r="248" spans="2:14" ht="15.6" x14ac:dyDescent="0.3">
      <c r="B248" s="144" t="s">
        <v>0</v>
      </c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6"/>
    </row>
    <row r="249" spans="2:14" x14ac:dyDescent="0.3">
      <c r="B249" s="15" t="s">
        <v>1</v>
      </c>
      <c r="C249" s="14"/>
      <c r="D249" s="14"/>
      <c r="E249" s="14"/>
      <c r="F249" s="14"/>
      <c r="G249" s="13"/>
      <c r="H249" s="12"/>
      <c r="I249" s="14"/>
      <c r="J249" s="14" t="s">
        <v>20</v>
      </c>
      <c r="K249" s="14" t="s">
        <v>244</v>
      </c>
      <c r="L249" s="14"/>
      <c r="M249" s="14"/>
      <c r="N249" s="16"/>
    </row>
    <row r="250" spans="2:14" x14ac:dyDescent="0.3">
      <c r="B250" s="17" t="s">
        <v>2</v>
      </c>
      <c r="G250" s="2"/>
      <c r="H250" s="1"/>
      <c r="J250" t="s">
        <v>13</v>
      </c>
      <c r="K250" t="s">
        <v>239</v>
      </c>
      <c r="N250" s="18"/>
    </row>
    <row r="251" spans="2:14" x14ac:dyDescent="0.3">
      <c r="B251" s="17" t="s">
        <v>23</v>
      </c>
      <c r="G251" s="2"/>
      <c r="H251" s="1"/>
      <c r="N251" s="18"/>
    </row>
    <row r="252" spans="2:14" x14ac:dyDescent="0.3">
      <c r="B252" s="17" t="s">
        <v>24</v>
      </c>
      <c r="G252" s="2"/>
      <c r="H252" s="1"/>
      <c r="N252" s="18"/>
    </row>
    <row r="253" spans="2:14" x14ac:dyDescent="0.3">
      <c r="B253" s="17" t="s">
        <v>3</v>
      </c>
      <c r="C253" t="s">
        <v>4</v>
      </c>
      <c r="G253" s="2"/>
      <c r="H253" s="1"/>
      <c r="N253" s="18"/>
    </row>
    <row r="254" spans="2:14" x14ac:dyDescent="0.3">
      <c r="B254" s="17" t="s">
        <v>5</v>
      </c>
      <c r="C254" s="4"/>
      <c r="D254" s="4"/>
      <c r="E254" s="4"/>
      <c r="F254" s="4"/>
      <c r="G254" s="5"/>
      <c r="H254" s="3"/>
      <c r="I254" s="4"/>
      <c r="J254" s="4"/>
      <c r="K254" s="4"/>
      <c r="L254" s="4"/>
      <c r="M254" s="4"/>
      <c r="N254" s="19"/>
    </row>
    <row r="255" spans="2:14" x14ac:dyDescent="0.3">
      <c r="B255" s="147" t="s">
        <v>6</v>
      </c>
      <c r="C255" s="148"/>
      <c r="D255" s="148"/>
      <c r="E255" s="148"/>
      <c r="F255" s="148"/>
      <c r="G255" s="148"/>
      <c r="H255" s="148"/>
      <c r="I255" s="148"/>
      <c r="J255" s="129"/>
      <c r="K255" s="9" t="s">
        <v>8</v>
      </c>
      <c r="L255" s="7" t="s">
        <v>9</v>
      </c>
      <c r="M255" s="6" t="s">
        <v>10</v>
      </c>
      <c r="N255" s="20"/>
    </row>
    <row r="256" spans="2:14" x14ac:dyDescent="0.3">
      <c r="B256" s="15"/>
      <c r="C256" s="14"/>
      <c r="D256" s="14"/>
      <c r="E256" s="14"/>
      <c r="F256" s="14"/>
      <c r="G256" s="14"/>
      <c r="H256" s="14"/>
      <c r="I256" s="14"/>
      <c r="J256" s="13"/>
      <c r="K256" s="11"/>
      <c r="L256" s="2"/>
      <c r="M256" s="121"/>
      <c r="N256" s="122"/>
    </row>
    <row r="257" spans="2:14" x14ac:dyDescent="0.3">
      <c r="B257" s="118" t="s">
        <v>245</v>
      </c>
      <c r="C257" s="119"/>
      <c r="D257" s="119"/>
      <c r="E257" s="119"/>
      <c r="F257" s="119"/>
      <c r="G257" s="119"/>
      <c r="H257" s="119"/>
      <c r="I257" s="119"/>
      <c r="J257" s="123"/>
      <c r="K257" s="11">
        <v>479200</v>
      </c>
      <c r="L257" s="29">
        <v>0</v>
      </c>
      <c r="M257" s="124">
        <f>K257</f>
        <v>479200</v>
      </c>
      <c r="N257" s="125"/>
    </row>
    <row r="258" spans="2:14" x14ac:dyDescent="0.3">
      <c r="B258" s="17"/>
      <c r="J258" s="2"/>
      <c r="K258" s="11"/>
      <c r="L258" s="2"/>
      <c r="M258" s="124"/>
      <c r="N258" s="125"/>
    </row>
    <row r="259" spans="2:14" x14ac:dyDescent="0.3">
      <c r="B259" s="17"/>
      <c r="D259" t="s">
        <v>21</v>
      </c>
      <c r="J259" s="2"/>
      <c r="K259" s="11"/>
      <c r="L259" s="2"/>
      <c r="M259" s="124"/>
      <c r="N259" s="125"/>
    </row>
    <row r="260" spans="2:14" x14ac:dyDescent="0.3">
      <c r="B260" s="17"/>
      <c r="J260" s="2"/>
      <c r="K260" s="11"/>
      <c r="L260" s="2"/>
      <c r="M260" s="124"/>
      <c r="N260" s="125"/>
    </row>
    <row r="261" spans="2:14" x14ac:dyDescent="0.3">
      <c r="B261" s="17"/>
      <c r="J261" s="2"/>
      <c r="K261" s="11"/>
      <c r="L261" s="2"/>
      <c r="M261" s="124"/>
      <c r="N261" s="125"/>
    </row>
    <row r="262" spans="2:14" x14ac:dyDescent="0.3">
      <c r="B262" s="17"/>
      <c r="J262" s="2"/>
      <c r="K262" s="11"/>
      <c r="L262" s="2"/>
      <c r="M262" s="126"/>
      <c r="N262" s="127"/>
    </row>
    <row r="263" spans="2:14" x14ac:dyDescent="0.3">
      <c r="B263" s="21"/>
      <c r="C263" s="4"/>
      <c r="D263" s="4"/>
      <c r="E263" s="4"/>
      <c r="F263" s="4"/>
      <c r="G263" s="4"/>
      <c r="H263" s="4"/>
      <c r="I263" s="128" t="s">
        <v>16</v>
      </c>
      <c r="J263" s="129"/>
      <c r="K263" s="10">
        <f>K257</f>
        <v>479200</v>
      </c>
      <c r="L263" s="30" t="s">
        <v>88</v>
      </c>
      <c r="M263" s="128">
        <f>M257</f>
        <v>479200</v>
      </c>
      <c r="N263" s="130"/>
    </row>
    <row r="264" spans="2:14" x14ac:dyDescent="0.3">
      <c r="B264" s="17"/>
      <c r="N264" s="18"/>
    </row>
    <row r="265" spans="2:14" x14ac:dyDescent="0.3">
      <c r="B265" s="15" t="s">
        <v>17</v>
      </c>
      <c r="C265" s="131" t="s">
        <v>22</v>
      </c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2"/>
    </row>
    <row r="266" spans="2:14" x14ac:dyDescent="0.3">
      <c r="B266" s="21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4"/>
    </row>
    <row r="267" spans="2:14" x14ac:dyDescent="0.3">
      <c r="B267" s="17"/>
      <c r="N267" s="18"/>
    </row>
    <row r="268" spans="2:14" x14ac:dyDescent="0.3">
      <c r="B268" s="17"/>
      <c r="N268" s="18"/>
    </row>
    <row r="269" spans="2:14" x14ac:dyDescent="0.3">
      <c r="B269" s="17"/>
      <c r="L269" s="8" t="s">
        <v>18</v>
      </c>
      <c r="N269" s="18"/>
    </row>
    <row r="270" spans="2:14" x14ac:dyDescent="0.3">
      <c r="B270" s="17"/>
      <c r="L270" s="8"/>
      <c r="N270" s="18"/>
    </row>
    <row r="271" spans="2:14" x14ac:dyDescent="0.3">
      <c r="B271" s="17"/>
      <c r="L271" s="8"/>
      <c r="N271" s="18"/>
    </row>
    <row r="272" spans="2:14" ht="15" thickBot="1" x14ac:dyDescent="0.35">
      <c r="B272" s="22"/>
      <c r="C272" s="23"/>
      <c r="D272" s="23"/>
      <c r="E272" s="23"/>
      <c r="F272" s="23"/>
      <c r="G272" s="23"/>
      <c r="H272" s="23"/>
      <c r="I272" s="23"/>
      <c r="J272" s="23"/>
      <c r="K272" s="23"/>
      <c r="L272" s="24" t="s">
        <v>19</v>
      </c>
      <c r="M272" s="23"/>
      <c r="N272" s="25"/>
    </row>
    <row r="274" spans="2:14" ht="15" thickBot="1" x14ac:dyDescent="0.35"/>
    <row r="275" spans="2:14" ht="23.4" x14ac:dyDescent="0.45">
      <c r="B275" s="135" t="s">
        <v>11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7"/>
    </row>
    <row r="276" spans="2:14" x14ac:dyDescent="0.3">
      <c r="B276" s="138" t="s">
        <v>12</v>
      </c>
      <c r="C276" s="139"/>
      <c r="D276" s="139"/>
      <c r="E276" s="139"/>
      <c r="F276" s="139"/>
      <c r="G276" s="139"/>
      <c r="H276" s="139"/>
      <c r="I276" s="139"/>
      <c r="J276" s="139"/>
      <c r="K276" s="139"/>
      <c r="L276" s="139"/>
      <c r="M276" s="139"/>
      <c r="N276" s="140"/>
    </row>
    <row r="277" spans="2:14" ht="15.6" x14ac:dyDescent="0.3">
      <c r="B277" s="141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3"/>
    </row>
    <row r="278" spans="2:14" ht="15.6" x14ac:dyDescent="0.3">
      <c r="B278" s="144" t="s">
        <v>0</v>
      </c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6"/>
    </row>
    <row r="279" spans="2:14" x14ac:dyDescent="0.3">
      <c r="B279" s="15" t="s">
        <v>1</v>
      </c>
      <c r="C279" s="14"/>
      <c r="D279" s="14"/>
      <c r="E279" s="14"/>
      <c r="F279" s="14"/>
      <c r="G279" s="13"/>
      <c r="H279" s="12"/>
      <c r="I279" s="14"/>
      <c r="J279" s="14" t="s">
        <v>20</v>
      </c>
      <c r="K279" s="14" t="s">
        <v>260</v>
      </c>
      <c r="L279" s="14"/>
      <c r="M279" s="14"/>
      <c r="N279" s="16"/>
    </row>
    <row r="280" spans="2:14" x14ac:dyDescent="0.3">
      <c r="B280" s="17" t="s">
        <v>2</v>
      </c>
      <c r="G280" s="2"/>
      <c r="H280" s="1"/>
      <c r="J280" t="s">
        <v>13</v>
      </c>
      <c r="K280" t="s">
        <v>261</v>
      </c>
      <c r="N280" s="18"/>
    </row>
    <row r="281" spans="2:14" x14ac:dyDescent="0.3">
      <c r="B281" s="17" t="s">
        <v>23</v>
      </c>
      <c r="G281" s="2"/>
      <c r="H281" s="1"/>
      <c r="N281" s="18"/>
    </row>
    <row r="282" spans="2:14" x14ac:dyDescent="0.3">
      <c r="B282" s="17" t="s">
        <v>24</v>
      </c>
      <c r="G282" s="2"/>
      <c r="H282" s="1"/>
      <c r="N282" s="18"/>
    </row>
    <row r="283" spans="2:14" x14ac:dyDescent="0.3">
      <c r="B283" s="17" t="s">
        <v>3</v>
      </c>
      <c r="C283" t="s">
        <v>4</v>
      </c>
      <c r="G283" s="2"/>
      <c r="H283" s="1"/>
      <c r="N283" s="18"/>
    </row>
    <row r="284" spans="2:14" x14ac:dyDescent="0.3">
      <c r="B284" s="17" t="s">
        <v>5</v>
      </c>
      <c r="C284" s="4"/>
      <c r="D284" s="4"/>
      <c r="E284" s="4"/>
      <c r="F284" s="4"/>
      <c r="G284" s="5"/>
      <c r="H284" s="3"/>
      <c r="I284" s="4"/>
      <c r="J284" s="4"/>
      <c r="K284" s="4"/>
      <c r="L284" s="4"/>
      <c r="M284" s="4"/>
      <c r="N284" s="19"/>
    </row>
    <row r="285" spans="2:14" x14ac:dyDescent="0.3">
      <c r="B285" s="147" t="s">
        <v>6</v>
      </c>
      <c r="C285" s="148"/>
      <c r="D285" s="148"/>
      <c r="E285" s="148"/>
      <c r="F285" s="148"/>
      <c r="G285" s="148"/>
      <c r="H285" s="148"/>
      <c r="I285" s="148"/>
      <c r="J285" s="129"/>
      <c r="K285" s="9" t="s">
        <v>8</v>
      </c>
      <c r="L285" s="7" t="s">
        <v>9</v>
      </c>
      <c r="M285" s="6" t="s">
        <v>10</v>
      </c>
      <c r="N285" s="20"/>
    </row>
    <row r="286" spans="2:14" x14ac:dyDescent="0.3">
      <c r="B286" s="15"/>
      <c r="C286" s="14"/>
      <c r="D286" s="14"/>
      <c r="E286" s="14"/>
      <c r="F286" s="14"/>
      <c r="G286" s="14"/>
      <c r="H286" s="14"/>
      <c r="I286" s="14"/>
      <c r="J286" s="13"/>
      <c r="K286" s="11"/>
      <c r="L286" s="2"/>
      <c r="M286" s="121"/>
      <c r="N286" s="122"/>
    </row>
    <row r="287" spans="2:14" x14ac:dyDescent="0.3">
      <c r="B287" s="118" t="s">
        <v>262</v>
      </c>
      <c r="C287" s="119"/>
      <c r="D287" s="119"/>
      <c r="E287" s="119"/>
      <c r="F287" s="119"/>
      <c r="G287" s="119"/>
      <c r="H287" s="119"/>
      <c r="I287" s="119"/>
      <c r="J287" s="123"/>
      <c r="K287" s="11">
        <v>365300</v>
      </c>
      <c r="L287" s="29">
        <v>0</v>
      </c>
      <c r="M287" s="124">
        <f>K287</f>
        <v>365300</v>
      </c>
      <c r="N287" s="125"/>
    </row>
    <row r="288" spans="2:14" x14ac:dyDescent="0.3">
      <c r="B288" s="17"/>
      <c r="J288" s="2"/>
      <c r="K288" s="11"/>
      <c r="L288" s="2"/>
      <c r="M288" s="124"/>
      <c r="N288" s="125"/>
    </row>
    <row r="289" spans="2:14" x14ac:dyDescent="0.3">
      <c r="B289" s="17"/>
      <c r="D289" t="s">
        <v>21</v>
      </c>
      <c r="J289" s="2"/>
      <c r="K289" s="11"/>
      <c r="L289" s="2"/>
      <c r="M289" s="124"/>
      <c r="N289" s="125"/>
    </row>
    <row r="290" spans="2:14" x14ac:dyDescent="0.3">
      <c r="B290" s="17"/>
      <c r="J290" s="2"/>
      <c r="K290" s="11"/>
      <c r="L290" s="2"/>
      <c r="M290" s="124"/>
      <c r="N290" s="125"/>
    </row>
    <row r="291" spans="2:14" x14ac:dyDescent="0.3">
      <c r="B291" s="17"/>
      <c r="J291" s="2"/>
      <c r="K291" s="11"/>
      <c r="L291" s="2"/>
      <c r="M291" s="124"/>
      <c r="N291" s="125"/>
    </row>
    <row r="292" spans="2:14" x14ac:dyDescent="0.3">
      <c r="B292" s="17"/>
      <c r="J292" s="2"/>
      <c r="K292" s="11"/>
      <c r="L292" s="2"/>
      <c r="M292" s="126"/>
      <c r="N292" s="127"/>
    </row>
    <row r="293" spans="2:14" x14ac:dyDescent="0.3">
      <c r="B293" s="21"/>
      <c r="C293" s="4"/>
      <c r="D293" s="4"/>
      <c r="E293" s="4"/>
      <c r="F293" s="4"/>
      <c r="G293" s="4"/>
      <c r="H293" s="4"/>
      <c r="I293" s="128" t="s">
        <v>16</v>
      </c>
      <c r="J293" s="129"/>
      <c r="K293" s="10">
        <f>K287</f>
        <v>365300</v>
      </c>
      <c r="L293" s="30" t="s">
        <v>88</v>
      </c>
      <c r="M293" s="128">
        <f>M287</f>
        <v>365300</v>
      </c>
      <c r="N293" s="130"/>
    </row>
    <row r="294" spans="2:14" x14ac:dyDescent="0.3">
      <c r="B294" s="17"/>
      <c r="N294" s="18"/>
    </row>
    <row r="295" spans="2:14" x14ac:dyDescent="0.3">
      <c r="B295" s="15" t="s">
        <v>17</v>
      </c>
      <c r="C295" s="131" t="s">
        <v>22</v>
      </c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2"/>
    </row>
    <row r="296" spans="2:14" x14ac:dyDescent="0.3">
      <c r="B296" s="21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4"/>
    </row>
    <row r="297" spans="2:14" x14ac:dyDescent="0.3">
      <c r="B297" s="17"/>
      <c r="N297" s="18"/>
    </row>
    <row r="298" spans="2:14" x14ac:dyDescent="0.3">
      <c r="B298" s="17"/>
      <c r="N298" s="18"/>
    </row>
    <row r="299" spans="2:14" x14ac:dyDescent="0.3">
      <c r="B299" s="17"/>
      <c r="L299" s="8" t="s">
        <v>18</v>
      </c>
      <c r="N299" s="18"/>
    </row>
    <row r="300" spans="2:14" x14ac:dyDescent="0.3">
      <c r="B300" s="17"/>
      <c r="L300" s="8"/>
      <c r="N300" s="18"/>
    </row>
    <row r="301" spans="2:14" x14ac:dyDescent="0.3">
      <c r="B301" s="17"/>
      <c r="L301" s="8"/>
      <c r="N301" s="18"/>
    </row>
    <row r="302" spans="2:14" ht="15" thickBot="1" x14ac:dyDescent="0.35">
      <c r="B302" s="22"/>
      <c r="C302" s="23"/>
      <c r="D302" s="23"/>
      <c r="E302" s="23"/>
      <c r="F302" s="23"/>
      <c r="G302" s="23"/>
      <c r="H302" s="23"/>
      <c r="I302" s="23"/>
      <c r="J302" s="23"/>
      <c r="K302" s="23"/>
      <c r="L302" s="24" t="s">
        <v>19</v>
      </c>
      <c r="M302" s="23"/>
      <c r="N302" s="25"/>
    </row>
    <row r="305" spans="2:14" ht="15" thickBot="1" x14ac:dyDescent="0.35"/>
    <row r="306" spans="2:14" ht="23.4" x14ac:dyDescent="0.45">
      <c r="B306" s="135" t="s">
        <v>11</v>
      </c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7"/>
    </row>
    <row r="307" spans="2:14" x14ac:dyDescent="0.3">
      <c r="B307" s="138" t="s">
        <v>12</v>
      </c>
      <c r="C307" s="139"/>
      <c r="D307" s="139"/>
      <c r="E307" s="139"/>
      <c r="F307" s="139"/>
      <c r="G307" s="139"/>
      <c r="H307" s="139"/>
      <c r="I307" s="139"/>
      <c r="J307" s="139"/>
      <c r="K307" s="139"/>
      <c r="L307" s="139"/>
      <c r="M307" s="139"/>
      <c r="N307" s="140"/>
    </row>
    <row r="308" spans="2:14" ht="15.6" x14ac:dyDescent="0.3">
      <c r="B308" s="141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3"/>
    </row>
    <row r="309" spans="2:14" ht="15.6" x14ac:dyDescent="0.3">
      <c r="B309" s="144" t="s">
        <v>0</v>
      </c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6"/>
    </row>
    <row r="310" spans="2:14" x14ac:dyDescent="0.3">
      <c r="B310" s="15" t="s">
        <v>1</v>
      </c>
      <c r="C310" s="14"/>
      <c r="D310" s="14"/>
      <c r="E310" s="14"/>
      <c r="F310" s="14"/>
      <c r="G310" s="13"/>
      <c r="H310" s="12"/>
      <c r="I310" s="14"/>
      <c r="J310" s="14" t="s">
        <v>20</v>
      </c>
      <c r="K310" s="14" t="s">
        <v>312</v>
      </c>
      <c r="L310" s="14"/>
      <c r="M310" s="14"/>
      <c r="N310" s="16"/>
    </row>
    <row r="311" spans="2:14" x14ac:dyDescent="0.3">
      <c r="B311" s="17" t="s">
        <v>2</v>
      </c>
      <c r="G311" s="2"/>
      <c r="H311" s="1"/>
      <c r="J311" t="s">
        <v>13</v>
      </c>
      <c r="K311" t="s">
        <v>281</v>
      </c>
      <c r="N311" s="18"/>
    </row>
    <row r="312" spans="2:14" x14ac:dyDescent="0.3">
      <c r="B312" s="17" t="s">
        <v>23</v>
      </c>
      <c r="G312" s="2"/>
      <c r="H312" s="1"/>
      <c r="N312" s="18"/>
    </row>
    <row r="313" spans="2:14" x14ac:dyDescent="0.3">
      <c r="B313" s="17" t="s">
        <v>24</v>
      </c>
      <c r="G313" s="2"/>
      <c r="H313" s="1"/>
      <c r="N313" s="18"/>
    </row>
    <row r="314" spans="2:14" x14ac:dyDescent="0.3">
      <c r="B314" s="17" t="s">
        <v>3</v>
      </c>
      <c r="C314" t="s">
        <v>4</v>
      </c>
      <c r="G314" s="2"/>
      <c r="H314" s="1"/>
      <c r="N314" s="18"/>
    </row>
    <row r="315" spans="2:14" x14ac:dyDescent="0.3">
      <c r="B315" s="17" t="s">
        <v>5</v>
      </c>
      <c r="C315" s="4"/>
      <c r="D315" s="4"/>
      <c r="E315" s="4"/>
      <c r="F315" s="4"/>
      <c r="G315" s="5"/>
      <c r="H315" s="3"/>
      <c r="I315" s="4"/>
      <c r="J315" s="4"/>
      <c r="K315" s="4"/>
      <c r="L315" s="4"/>
      <c r="M315" s="4"/>
      <c r="N315" s="19"/>
    </row>
    <row r="316" spans="2:14" x14ac:dyDescent="0.3">
      <c r="B316" s="147" t="s">
        <v>6</v>
      </c>
      <c r="C316" s="148"/>
      <c r="D316" s="148"/>
      <c r="E316" s="148"/>
      <c r="F316" s="148"/>
      <c r="G316" s="148"/>
      <c r="H316" s="148"/>
      <c r="I316" s="148"/>
      <c r="J316" s="129"/>
      <c r="K316" s="9" t="s">
        <v>8</v>
      </c>
      <c r="L316" s="7" t="s">
        <v>9</v>
      </c>
      <c r="M316" s="6" t="s">
        <v>10</v>
      </c>
      <c r="N316" s="20"/>
    </row>
    <row r="317" spans="2:14" x14ac:dyDescent="0.3">
      <c r="B317" s="15"/>
      <c r="C317" s="14"/>
      <c r="D317" s="14"/>
      <c r="E317" s="14"/>
      <c r="F317" s="14"/>
      <c r="G317" s="14"/>
      <c r="H317" s="14"/>
      <c r="I317" s="14"/>
      <c r="J317" s="13"/>
      <c r="K317" s="11"/>
      <c r="L317" s="2"/>
      <c r="M317" s="121"/>
      <c r="N317" s="122"/>
    </row>
    <row r="318" spans="2:14" x14ac:dyDescent="0.3">
      <c r="B318" s="118" t="s">
        <v>313</v>
      </c>
      <c r="C318" s="119"/>
      <c r="D318" s="119"/>
      <c r="E318" s="119"/>
      <c r="F318" s="119"/>
      <c r="G318" s="119"/>
      <c r="H318" s="119"/>
      <c r="I318" s="119"/>
      <c r="J318" s="123"/>
      <c r="K318" s="11">
        <v>589200</v>
      </c>
      <c r="L318" s="29">
        <v>0</v>
      </c>
      <c r="M318" s="124">
        <f>K318</f>
        <v>589200</v>
      </c>
      <c r="N318" s="125"/>
    </row>
    <row r="319" spans="2:14" x14ac:dyDescent="0.3">
      <c r="B319" s="17"/>
      <c r="J319" s="2"/>
      <c r="K319" s="11"/>
      <c r="L319" s="2"/>
      <c r="M319" s="124"/>
      <c r="N319" s="125"/>
    </row>
    <row r="320" spans="2:14" x14ac:dyDescent="0.3">
      <c r="B320" s="17"/>
      <c r="D320" t="s">
        <v>21</v>
      </c>
      <c r="J320" s="2"/>
      <c r="K320" s="11"/>
      <c r="L320" s="2"/>
      <c r="M320" s="124"/>
      <c r="N320" s="125"/>
    </row>
    <row r="321" spans="2:14" x14ac:dyDescent="0.3">
      <c r="B321" s="17"/>
      <c r="J321" s="2"/>
      <c r="K321" s="11"/>
      <c r="L321" s="2"/>
      <c r="M321" s="124"/>
      <c r="N321" s="125"/>
    </row>
    <row r="322" spans="2:14" x14ac:dyDescent="0.3">
      <c r="B322" s="17"/>
      <c r="J322" s="2"/>
      <c r="K322" s="11"/>
      <c r="L322" s="2"/>
      <c r="M322" s="124"/>
      <c r="N322" s="125"/>
    </row>
    <row r="323" spans="2:14" x14ac:dyDescent="0.3">
      <c r="B323" s="17"/>
      <c r="J323" s="2"/>
      <c r="K323" s="11"/>
      <c r="L323" s="2"/>
      <c r="M323" s="126"/>
      <c r="N323" s="127"/>
    </row>
    <row r="324" spans="2:14" x14ac:dyDescent="0.3">
      <c r="B324" s="21"/>
      <c r="C324" s="4"/>
      <c r="D324" s="4"/>
      <c r="E324" s="4"/>
      <c r="F324" s="4"/>
      <c r="G324" s="4"/>
      <c r="H324" s="4"/>
      <c r="I324" s="128" t="s">
        <v>16</v>
      </c>
      <c r="J324" s="129"/>
      <c r="K324" s="10">
        <f>K318</f>
        <v>589200</v>
      </c>
      <c r="L324" s="30" t="s">
        <v>88</v>
      </c>
      <c r="M324" s="128">
        <f>M318</f>
        <v>589200</v>
      </c>
      <c r="N324" s="130"/>
    </row>
    <row r="325" spans="2:14" x14ac:dyDescent="0.3">
      <c r="B325" s="17"/>
      <c r="N325" s="18"/>
    </row>
    <row r="326" spans="2:14" x14ac:dyDescent="0.3">
      <c r="B326" s="15" t="s">
        <v>17</v>
      </c>
      <c r="C326" s="131" t="s">
        <v>22</v>
      </c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2"/>
    </row>
    <row r="327" spans="2:14" x14ac:dyDescent="0.3">
      <c r="B327" s="21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4"/>
    </row>
    <row r="328" spans="2:14" x14ac:dyDescent="0.3">
      <c r="B328" s="17"/>
      <c r="N328" s="18"/>
    </row>
    <row r="329" spans="2:14" x14ac:dyDescent="0.3">
      <c r="B329" s="17"/>
      <c r="N329" s="18"/>
    </row>
    <row r="330" spans="2:14" x14ac:dyDescent="0.3">
      <c r="B330" s="17"/>
      <c r="L330" s="8" t="s">
        <v>18</v>
      </c>
      <c r="N330" s="18"/>
    </row>
    <row r="331" spans="2:14" x14ac:dyDescent="0.3">
      <c r="B331" s="17"/>
      <c r="L331" s="8"/>
      <c r="N331" s="18"/>
    </row>
    <row r="332" spans="2:14" x14ac:dyDescent="0.3">
      <c r="B332" s="17"/>
      <c r="L332" s="8"/>
      <c r="N332" s="18"/>
    </row>
    <row r="333" spans="2:14" ht="15" thickBot="1" x14ac:dyDescent="0.35">
      <c r="B333" s="22"/>
      <c r="C333" s="23"/>
      <c r="D333" s="23"/>
      <c r="E333" s="23"/>
      <c r="F333" s="23"/>
      <c r="G333" s="23"/>
      <c r="H333" s="23"/>
      <c r="I333" s="23"/>
      <c r="J333" s="23"/>
      <c r="K333" s="23"/>
      <c r="L333" s="24" t="s">
        <v>19</v>
      </c>
      <c r="M333" s="23"/>
      <c r="N333" s="25"/>
    </row>
    <row r="336" spans="2:14" ht="15" thickBot="1" x14ac:dyDescent="0.35"/>
    <row r="337" spans="2:14" ht="23.4" x14ac:dyDescent="0.45">
      <c r="B337" s="135" t="s">
        <v>11</v>
      </c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7"/>
    </row>
    <row r="338" spans="2:14" x14ac:dyDescent="0.3">
      <c r="B338" s="138" t="s">
        <v>12</v>
      </c>
      <c r="C338" s="139"/>
      <c r="D338" s="139"/>
      <c r="E338" s="139"/>
      <c r="F338" s="139"/>
      <c r="G338" s="139"/>
      <c r="H338" s="139"/>
      <c r="I338" s="139"/>
      <c r="J338" s="139"/>
      <c r="K338" s="139"/>
      <c r="L338" s="139"/>
      <c r="M338" s="139"/>
      <c r="N338" s="140"/>
    </row>
    <row r="339" spans="2:14" ht="15.6" x14ac:dyDescent="0.3">
      <c r="B339" s="141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3"/>
    </row>
    <row r="340" spans="2:14" ht="15.6" x14ac:dyDescent="0.3">
      <c r="B340" s="144" t="s">
        <v>0</v>
      </c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6"/>
    </row>
    <row r="341" spans="2:14" x14ac:dyDescent="0.3">
      <c r="B341" s="15" t="s">
        <v>1</v>
      </c>
      <c r="C341" s="14"/>
      <c r="D341" s="14"/>
      <c r="E341" s="14"/>
      <c r="F341" s="14"/>
      <c r="G341" s="13"/>
      <c r="H341" s="12"/>
      <c r="I341" s="14"/>
      <c r="J341" s="14" t="s">
        <v>20</v>
      </c>
      <c r="K341" s="14" t="s">
        <v>314</v>
      </c>
      <c r="L341" s="14"/>
      <c r="M341" s="14"/>
      <c r="N341" s="16"/>
    </row>
    <row r="342" spans="2:14" x14ac:dyDescent="0.3">
      <c r="B342" s="17" t="s">
        <v>2</v>
      </c>
      <c r="G342" s="2"/>
      <c r="H342" s="1"/>
      <c r="J342" t="s">
        <v>13</v>
      </c>
      <c r="K342" t="s">
        <v>315</v>
      </c>
      <c r="N342" s="18"/>
    </row>
    <row r="343" spans="2:14" x14ac:dyDescent="0.3">
      <c r="B343" s="17" t="s">
        <v>23</v>
      </c>
      <c r="G343" s="2"/>
      <c r="H343" s="1"/>
      <c r="N343" s="18"/>
    </row>
    <row r="344" spans="2:14" x14ac:dyDescent="0.3">
      <c r="B344" s="17" t="s">
        <v>24</v>
      </c>
      <c r="G344" s="2"/>
      <c r="H344" s="1"/>
      <c r="N344" s="18"/>
    </row>
    <row r="345" spans="2:14" x14ac:dyDescent="0.3">
      <c r="B345" s="17" t="s">
        <v>3</v>
      </c>
      <c r="C345" t="s">
        <v>4</v>
      </c>
      <c r="G345" s="2"/>
      <c r="H345" s="1"/>
      <c r="N345" s="18"/>
    </row>
    <row r="346" spans="2:14" x14ac:dyDescent="0.3">
      <c r="B346" s="17" t="s">
        <v>5</v>
      </c>
      <c r="C346" s="4"/>
      <c r="D346" s="4"/>
      <c r="E346" s="4"/>
      <c r="F346" s="4"/>
      <c r="G346" s="5"/>
      <c r="H346" s="3"/>
      <c r="I346" s="4"/>
      <c r="J346" s="4"/>
      <c r="K346" s="4"/>
      <c r="L346" s="4"/>
      <c r="M346" s="4"/>
      <c r="N346" s="19"/>
    </row>
    <row r="347" spans="2:14" x14ac:dyDescent="0.3">
      <c r="B347" s="147" t="s">
        <v>6</v>
      </c>
      <c r="C347" s="148"/>
      <c r="D347" s="148"/>
      <c r="E347" s="148"/>
      <c r="F347" s="148"/>
      <c r="G347" s="148"/>
      <c r="H347" s="148"/>
      <c r="I347" s="148"/>
      <c r="J347" s="129"/>
      <c r="K347" s="9" t="s">
        <v>8</v>
      </c>
      <c r="L347" s="7" t="s">
        <v>9</v>
      </c>
      <c r="M347" s="6" t="s">
        <v>10</v>
      </c>
      <c r="N347" s="20"/>
    </row>
    <row r="348" spans="2:14" x14ac:dyDescent="0.3">
      <c r="B348" s="15"/>
      <c r="C348" s="14"/>
      <c r="D348" s="14"/>
      <c r="E348" s="14"/>
      <c r="F348" s="14"/>
      <c r="G348" s="14"/>
      <c r="H348" s="14"/>
      <c r="I348" s="14"/>
      <c r="J348" s="13"/>
      <c r="K348" s="11"/>
      <c r="L348" s="2"/>
      <c r="M348" s="121"/>
      <c r="N348" s="122"/>
    </row>
    <row r="349" spans="2:14" x14ac:dyDescent="0.3">
      <c r="B349" s="118" t="s">
        <v>316</v>
      </c>
      <c r="C349" s="119"/>
      <c r="D349" s="119"/>
      <c r="E349" s="119"/>
      <c r="F349" s="119"/>
      <c r="G349" s="119"/>
      <c r="H349" s="119"/>
      <c r="I349" s="119"/>
      <c r="J349" s="123"/>
      <c r="K349" s="11">
        <v>450600</v>
      </c>
      <c r="L349" s="29">
        <v>0</v>
      </c>
      <c r="M349" s="124">
        <f>K349</f>
        <v>450600</v>
      </c>
      <c r="N349" s="125"/>
    </row>
    <row r="350" spans="2:14" x14ac:dyDescent="0.3">
      <c r="B350" s="17"/>
      <c r="J350" s="2"/>
      <c r="K350" s="11"/>
      <c r="L350" s="2"/>
      <c r="M350" s="124"/>
      <c r="N350" s="125"/>
    </row>
    <row r="351" spans="2:14" x14ac:dyDescent="0.3">
      <c r="B351" s="17"/>
      <c r="D351" t="s">
        <v>21</v>
      </c>
      <c r="J351" s="2"/>
      <c r="K351" s="11"/>
      <c r="L351" s="2"/>
      <c r="M351" s="124"/>
      <c r="N351" s="125"/>
    </row>
    <row r="352" spans="2:14" x14ac:dyDescent="0.3">
      <c r="B352" s="17"/>
      <c r="J352" s="2"/>
      <c r="K352" s="11"/>
      <c r="L352" s="2"/>
      <c r="M352" s="124"/>
      <c r="N352" s="125"/>
    </row>
    <row r="353" spans="2:14" x14ac:dyDescent="0.3">
      <c r="B353" s="17"/>
      <c r="J353" s="2"/>
      <c r="K353" s="11"/>
      <c r="L353" s="2"/>
      <c r="M353" s="124"/>
      <c r="N353" s="125"/>
    </row>
    <row r="354" spans="2:14" x14ac:dyDescent="0.3">
      <c r="B354" s="17"/>
      <c r="J354" s="2"/>
      <c r="K354" s="11"/>
      <c r="L354" s="2"/>
      <c r="M354" s="126"/>
      <c r="N354" s="127"/>
    </row>
    <row r="355" spans="2:14" x14ac:dyDescent="0.3">
      <c r="B355" s="21"/>
      <c r="C355" s="4"/>
      <c r="D355" s="4"/>
      <c r="E355" s="4"/>
      <c r="F355" s="4"/>
      <c r="G355" s="4"/>
      <c r="H355" s="4"/>
      <c r="I355" s="128" t="s">
        <v>16</v>
      </c>
      <c r="J355" s="129"/>
      <c r="K355" s="10">
        <f>K349</f>
        <v>450600</v>
      </c>
      <c r="L355" s="30" t="s">
        <v>88</v>
      </c>
      <c r="M355" s="128">
        <f>M349</f>
        <v>450600</v>
      </c>
      <c r="N355" s="130"/>
    </row>
    <row r="356" spans="2:14" x14ac:dyDescent="0.3">
      <c r="B356" s="17"/>
      <c r="N356" s="18"/>
    </row>
    <row r="357" spans="2:14" x14ac:dyDescent="0.3">
      <c r="B357" s="15" t="s">
        <v>17</v>
      </c>
      <c r="C357" s="131" t="s">
        <v>22</v>
      </c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2"/>
    </row>
    <row r="358" spans="2:14" x14ac:dyDescent="0.3">
      <c r="B358" s="21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4"/>
    </row>
    <row r="359" spans="2:14" x14ac:dyDescent="0.3">
      <c r="B359" s="17"/>
      <c r="N359" s="18"/>
    </row>
    <row r="360" spans="2:14" x14ac:dyDescent="0.3">
      <c r="B360" s="17"/>
      <c r="N360" s="18"/>
    </row>
    <row r="361" spans="2:14" x14ac:dyDescent="0.3">
      <c r="B361" s="17"/>
      <c r="L361" s="8" t="s">
        <v>18</v>
      </c>
      <c r="N361" s="18"/>
    </row>
    <row r="362" spans="2:14" x14ac:dyDescent="0.3">
      <c r="B362" s="17"/>
      <c r="L362" s="8"/>
      <c r="N362" s="18"/>
    </row>
    <row r="363" spans="2:14" x14ac:dyDescent="0.3">
      <c r="B363" s="17"/>
      <c r="L363" s="8"/>
      <c r="N363" s="18"/>
    </row>
    <row r="364" spans="2:14" ht="15" thickBot="1" x14ac:dyDescent="0.35">
      <c r="B364" s="22"/>
      <c r="C364" s="23"/>
      <c r="D364" s="23"/>
      <c r="E364" s="23"/>
      <c r="F364" s="23"/>
      <c r="G364" s="23"/>
      <c r="H364" s="23"/>
      <c r="I364" s="23"/>
      <c r="J364" s="23"/>
      <c r="K364" s="23"/>
      <c r="L364" s="24" t="s">
        <v>19</v>
      </c>
      <c r="M364" s="23"/>
      <c r="N364" s="25"/>
    </row>
    <row r="366" spans="2:14" ht="15" thickBot="1" x14ac:dyDescent="0.35"/>
    <row r="367" spans="2:14" ht="23.4" x14ac:dyDescent="0.45">
      <c r="B367" s="135" t="s">
        <v>11</v>
      </c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7"/>
    </row>
    <row r="368" spans="2:14" x14ac:dyDescent="0.3">
      <c r="B368" s="138" t="s">
        <v>12</v>
      </c>
      <c r="C368" s="139"/>
      <c r="D368" s="139"/>
      <c r="E368" s="139"/>
      <c r="F368" s="139"/>
      <c r="G368" s="139"/>
      <c r="H368" s="139"/>
      <c r="I368" s="139"/>
      <c r="J368" s="139"/>
      <c r="K368" s="139"/>
      <c r="L368" s="139"/>
      <c r="M368" s="139"/>
      <c r="N368" s="140"/>
    </row>
    <row r="369" spans="2:14" ht="15.6" x14ac:dyDescent="0.3">
      <c r="B369" s="141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3"/>
    </row>
    <row r="370" spans="2:14" ht="15.6" x14ac:dyDescent="0.3">
      <c r="B370" s="144" t="s">
        <v>0</v>
      </c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6"/>
    </row>
    <row r="371" spans="2:14" x14ac:dyDescent="0.3">
      <c r="B371" s="15" t="s">
        <v>1</v>
      </c>
      <c r="C371" s="14"/>
      <c r="D371" s="14"/>
      <c r="E371" s="14"/>
      <c r="F371" s="14"/>
      <c r="G371" s="13"/>
      <c r="H371" s="12"/>
      <c r="I371" s="14"/>
      <c r="J371" s="14" t="s">
        <v>20</v>
      </c>
      <c r="K371" s="14" t="s">
        <v>317</v>
      </c>
      <c r="L371" s="14"/>
      <c r="M371" s="14"/>
      <c r="N371" s="16"/>
    </row>
    <row r="372" spans="2:14" x14ac:dyDescent="0.3">
      <c r="B372" s="17" t="s">
        <v>2</v>
      </c>
      <c r="G372" s="2"/>
      <c r="H372" s="1"/>
      <c r="J372" t="s">
        <v>13</v>
      </c>
      <c r="K372" t="s">
        <v>311</v>
      </c>
      <c r="N372" s="18"/>
    </row>
    <row r="373" spans="2:14" x14ac:dyDescent="0.3">
      <c r="B373" s="17" t="s">
        <v>23</v>
      </c>
      <c r="G373" s="2"/>
      <c r="H373" s="1"/>
      <c r="N373" s="18"/>
    </row>
    <row r="374" spans="2:14" x14ac:dyDescent="0.3">
      <c r="B374" s="17" t="s">
        <v>24</v>
      </c>
      <c r="G374" s="2"/>
      <c r="H374" s="1"/>
      <c r="N374" s="18"/>
    </row>
    <row r="375" spans="2:14" x14ac:dyDescent="0.3">
      <c r="B375" s="17" t="s">
        <v>3</v>
      </c>
      <c r="C375" t="s">
        <v>4</v>
      </c>
      <c r="G375" s="2"/>
      <c r="H375" s="1"/>
      <c r="N375" s="18"/>
    </row>
    <row r="376" spans="2:14" x14ac:dyDescent="0.3">
      <c r="B376" s="17" t="s">
        <v>5</v>
      </c>
      <c r="C376" s="4"/>
      <c r="D376" s="4"/>
      <c r="E376" s="4"/>
      <c r="F376" s="4"/>
      <c r="G376" s="5"/>
      <c r="H376" s="3"/>
      <c r="I376" s="4"/>
      <c r="J376" s="4"/>
      <c r="K376" s="4"/>
      <c r="L376" s="4"/>
      <c r="M376" s="4"/>
      <c r="N376" s="19"/>
    </row>
    <row r="377" spans="2:14" x14ac:dyDescent="0.3">
      <c r="B377" s="147" t="s">
        <v>6</v>
      </c>
      <c r="C377" s="148"/>
      <c r="D377" s="148"/>
      <c r="E377" s="148"/>
      <c r="F377" s="148"/>
      <c r="G377" s="148"/>
      <c r="H377" s="148"/>
      <c r="I377" s="148"/>
      <c r="J377" s="129"/>
      <c r="K377" s="9" t="s">
        <v>8</v>
      </c>
      <c r="L377" s="7" t="s">
        <v>9</v>
      </c>
      <c r="M377" s="6" t="s">
        <v>10</v>
      </c>
      <c r="N377" s="20"/>
    </row>
    <row r="378" spans="2:14" x14ac:dyDescent="0.3">
      <c r="B378" s="15"/>
      <c r="C378" s="14"/>
      <c r="D378" s="14"/>
      <c r="E378" s="14"/>
      <c r="F378" s="14"/>
      <c r="G378" s="14"/>
      <c r="H378" s="14"/>
      <c r="I378" s="14"/>
      <c r="J378" s="13"/>
      <c r="K378" s="11"/>
      <c r="L378" s="2"/>
      <c r="M378" s="121"/>
      <c r="N378" s="122"/>
    </row>
    <row r="379" spans="2:14" x14ac:dyDescent="0.3">
      <c r="B379" s="118" t="s">
        <v>318</v>
      </c>
      <c r="C379" s="119"/>
      <c r="D379" s="119"/>
      <c r="E379" s="119"/>
      <c r="F379" s="119"/>
      <c r="G379" s="119"/>
      <c r="H379" s="119"/>
      <c r="I379" s="119"/>
      <c r="J379" s="123"/>
      <c r="K379" s="11">
        <v>459200</v>
      </c>
      <c r="L379" s="29">
        <v>0</v>
      </c>
      <c r="M379" s="124">
        <f>K379</f>
        <v>459200</v>
      </c>
      <c r="N379" s="125"/>
    </row>
    <row r="380" spans="2:14" x14ac:dyDescent="0.3">
      <c r="B380" s="17"/>
      <c r="J380" s="2"/>
      <c r="K380" s="11"/>
      <c r="L380" s="2"/>
      <c r="M380" s="124"/>
      <c r="N380" s="125"/>
    </row>
    <row r="381" spans="2:14" x14ac:dyDescent="0.3">
      <c r="B381" s="17"/>
      <c r="D381" t="s">
        <v>21</v>
      </c>
      <c r="J381" s="2"/>
      <c r="K381" s="11"/>
      <c r="L381" s="2"/>
      <c r="M381" s="124"/>
      <c r="N381" s="125"/>
    </row>
    <row r="382" spans="2:14" x14ac:dyDescent="0.3">
      <c r="B382" s="17"/>
      <c r="J382" s="2"/>
      <c r="K382" s="11"/>
      <c r="L382" s="2"/>
      <c r="M382" s="124"/>
      <c r="N382" s="125"/>
    </row>
    <row r="383" spans="2:14" x14ac:dyDescent="0.3">
      <c r="B383" s="17"/>
      <c r="J383" s="2"/>
      <c r="K383" s="11"/>
      <c r="L383" s="2"/>
      <c r="M383" s="124"/>
      <c r="N383" s="125"/>
    </row>
    <row r="384" spans="2:14" x14ac:dyDescent="0.3">
      <c r="B384" s="17"/>
      <c r="J384" s="2"/>
      <c r="K384" s="11"/>
      <c r="L384" s="2"/>
      <c r="M384" s="126"/>
      <c r="N384" s="127"/>
    </row>
    <row r="385" spans="2:14" x14ac:dyDescent="0.3">
      <c r="B385" s="21"/>
      <c r="C385" s="4"/>
      <c r="D385" s="4"/>
      <c r="E385" s="4"/>
      <c r="F385" s="4"/>
      <c r="G385" s="4"/>
      <c r="H385" s="4"/>
      <c r="I385" s="128" t="s">
        <v>16</v>
      </c>
      <c r="J385" s="129"/>
      <c r="K385" s="10">
        <f>K379</f>
        <v>459200</v>
      </c>
      <c r="L385" s="30" t="s">
        <v>88</v>
      </c>
      <c r="M385" s="128">
        <f>M379</f>
        <v>459200</v>
      </c>
      <c r="N385" s="130"/>
    </row>
    <row r="386" spans="2:14" x14ac:dyDescent="0.3">
      <c r="B386" s="17"/>
      <c r="N386" s="18"/>
    </row>
    <row r="387" spans="2:14" x14ac:dyDescent="0.3">
      <c r="B387" s="15" t="s">
        <v>17</v>
      </c>
      <c r="C387" s="131" t="s">
        <v>22</v>
      </c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2"/>
    </row>
    <row r="388" spans="2:14" x14ac:dyDescent="0.3">
      <c r="B388" s="21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4"/>
    </row>
    <row r="389" spans="2:14" x14ac:dyDescent="0.3">
      <c r="B389" s="17"/>
      <c r="N389" s="18"/>
    </row>
    <row r="390" spans="2:14" x14ac:dyDescent="0.3">
      <c r="B390" s="17"/>
      <c r="N390" s="18"/>
    </row>
    <row r="391" spans="2:14" x14ac:dyDescent="0.3">
      <c r="B391" s="17"/>
      <c r="L391" s="8" t="s">
        <v>18</v>
      </c>
      <c r="N391" s="18"/>
    </row>
    <row r="392" spans="2:14" x14ac:dyDescent="0.3">
      <c r="B392" s="17"/>
      <c r="L392" s="8"/>
      <c r="N392" s="18"/>
    </row>
    <row r="393" spans="2:14" x14ac:dyDescent="0.3">
      <c r="B393" s="17"/>
      <c r="L393" s="8"/>
      <c r="N393" s="18"/>
    </row>
    <row r="394" spans="2:14" ht="15" thickBot="1" x14ac:dyDescent="0.35">
      <c r="B394" s="22"/>
      <c r="C394" s="23"/>
      <c r="D394" s="23"/>
      <c r="E394" s="23"/>
      <c r="F394" s="23"/>
      <c r="G394" s="23"/>
      <c r="H394" s="23"/>
      <c r="I394" s="23"/>
      <c r="J394" s="23"/>
      <c r="K394" s="23"/>
      <c r="L394" s="24" t="s">
        <v>19</v>
      </c>
      <c r="M394" s="23"/>
      <c r="N394" s="25"/>
    </row>
    <row r="396" spans="2:14" ht="15" thickBot="1" x14ac:dyDescent="0.35"/>
    <row r="397" spans="2:14" ht="23.4" x14ac:dyDescent="0.45">
      <c r="B397" s="135" t="s">
        <v>11</v>
      </c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7"/>
    </row>
    <row r="398" spans="2:14" x14ac:dyDescent="0.3">
      <c r="B398" s="138" t="s">
        <v>12</v>
      </c>
      <c r="C398" s="139"/>
      <c r="D398" s="139"/>
      <c r="E398" s="139"/>
      <c r="F398" s="139"/>
      <c r="G398" s="139"/>
      <c r="H398" s="139"/>
      <c r="I398" s="139"/>
      <c r="J398" s="139"/>
      <c r="K398" s="139"/>
      <c r="L398" s="139"/>
      <c r="M398" s="139"/>
      <c r="N398" s="140"/>
    </row>
    <row r="399" spans="2:14" ht="15.6" x14ac:dyDescent="0.3">
      <c r="B399" s="141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3"/>
    </row>
    <row r="400" spans="2:14" ht="15.6" x14ac:dyDescent="0.3">
      <c r="B400" s="144" t="s">
        <v>0</v>
      </c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6"/>
    </row>
    <row r="401" spans="2:14" x14ac:dyDescent="0.3">
      <c r="B401" s="15" t="s">
        <v>1</v>
      </c>
      <c r="C401" s="14"/>
      <c r="D401" s="14"/>
      <c r="E401" s="14"/>
      <c r="F401" s="14"/>
      <c r="G401" s="13"/>
      <c r="H401" s="12"/>
      <c r="I401" s="14"/>
      <c r="J401" s="14" t="s">
        <v>20</v>
      </c>
      <c r="K401" s="14" t="s">
        <v>351</v>
      </c>
      <c r="L401" s="14"/>
      <c r="M401" s="14"/>
      <c r="N401" s="16"/>
    </row>
    <row r="402" spans="2:14" x14ac:dyDescent="0.3">
      <c r="B402" s="17" t="s">
        <v>2</v>
      </c>
      <c r="G402" s="2"/>
      <c r="H402" s="1"/>
      <c r="J402" t="s">
        <v>13</v>
      </c>
      <c r="K402" t="s">
        <v>333</v>
      </c>
      <c r="N402" s="18"/>
    </row>
    <row r="403" spans="2:14" x14ac:dyDescent="0.3">
      <c r="B403" s="17" t="s">
        <v>23</v>
      </c>
      <c r="G403" s="2"/>
      <c r="H403" s="1"/>
      <c r="N403" s="18"/>
    </row>
    <row r="404" spans="2:14" x14ac:dyDescent="0.3">
      <c r="B404" s="17" t="s">
        <v>24</v>
      </c>
      <c r="G404" s="2"/>
      <c r="H404" s="1"/>
      <c r="N404" s="18"/>
    </row>
    <row r="405" spans="2:14" x14ac:dyDescent="0.3">
      <c r="B405" s="17" t="s">
        <v>3</v>
      </c>
      <c r="C405" t="s">
        <v>4</v>
      </c>
      <c r="G405" s="2"/>
      <c r="H405" s="1"/>
      <c r="N405" s="18"/>
    </row>
    <row r="406" spans="2:14" x14ac:dyDescent="0.3">
      <c r="B406" s="17" t="s">
        <v>5</v>
      </c>
      <c r="C406" s="4"/>
      <c r="D406" s="4"/>
      <c r="E406" s="4"/>
      <c r="F406" s="4"/>
      <c r="G406" s="5"/>
      <c r="H406" s="3"/>
      <c r="I406" s="4"/>
      <c r="J406" s="4"/>
      <c r="K406" s="4"/>
      <c r="L406" s="4"/>
      <c r="M406" s="4"/>
      <c r="N406" s="19"/>
    </row>
    <row r="407" spans="2:14" x14ac:dyDescent="0.3">
      <c r="B407" s="147" t="s">
        <v>6</v>
      </c>
      <c r="C407" s="148"/>
      <c r="D407" s="148"/>
      <c r="E407" s="148"/>
      <c r="F407" s="148"/>
      <c r="G407" s="148"/>
      <c r="H407" s="148"/>
      <c r="I407" s="148"/>
      <c r="J407" s="129"/>
      <c r="K407" s="9" t="s">
        <v>8</v>
      </c>
      <c r="L407" s="7" t="s">
        <v>9</v>
      </c>
      <c r="M407" s="6" t="s">
        <v>10</v>
      </c>
      <c r="N407" s="20"/>
    </row>
    <row r="408" spans="2:14" x14ac:dyDescent="0.3">
      <c r="B408" s="15"/>
      <c r="C408" s="14"/>
      <c r="D408" s="14"/>
      <c r="E408" s="14"/>
      <c r="F408" s="14"/>
      <c r="G408" s="14"/>
      <c r="H408" s="14"/>
      <c r="I408" s="14"/>
      <c r="J408" s="13"/>
      <c r="K408" s="11"/>
      <c r="L408" s="2"/>
      <c r="M408" s="121"/>
      <c r="N408" s="122"/>
    </row>
    <row r="409" spans="2:14" x14ac:dyDescent="0.3">
      <c r="B409" s="118" t="s">
        <v>352</v>
      </c>
      <c r="C409" s="119"/>
      <c r="D409" s="119"/>
      <c r="E409" s="119"/>
      <c r="F409" s="119"/>
      <c r="G409" s="119"/>
      <c r="H409" s="119"/>
      <c r="I409" s="119"/>
      <c r="J409" s="123"/>
      <c r="K409" s="11">
        <v>299500</v>
      </c>
      <c r="L409" s="29">
        <v>0</v>
      </c>
      <c r="M409" s="124">
        <f>K409</f>
        <v>299500</v>
      </c>
      <c r="N409" s="125"/>
    </row>
    <row r="410" spans="2:14" x14ac:dyDescent="0.3">
      <c r="B410" s="17"/>
      <c r="J410" s="2"/>
      <c r="K410" s="11"/>
      <c r="L410" s="2"/>
      <c r="M410" s="124"/>
      <c r="N410" s="125"/>
    </row>
    <row r="411" spans="2:14" x14ac:dyDescent="0.3">
      <c r="B411" s="17"/>
      <c r="D411" t="s">
        <v>21</v>
      </c>
      <c r="J411" s="2"/>
      <c r="K411" s="11"/>
      <c r="L411" s="2"/>
      <c r="M411" s="124"/>
      <c r="N411" s="125"/>
    </row>
    <row r="412" spans="2:14" x14ac:dyDescent="0.3">
      <c r="B412" s="17"/>
      <c r="J412" s="2"/>
      <c r="K412" s="11"/>
      <c r="L412" s="2"/>
      <c r="M412" s="124"/>
      <c r="N412" s="125"/>
    </row>
    <row r="413" spans="2:14" x14ac:dyDescent="0.3">
      <c r="B413" s="17"/>
      <c r="J413" s="2"/>
      <c r="K413" s="11"/>
      <c r="L413" s="2"/>
      <c r="M413" s="124"/>
      <c r="N413" s="125"/>
    </row>
    <row r="414" spans="2:14" x14ac:dyDescent="0.3">
      <c r="B414" s="17"/>
      <c r="J414" s="2"/>
      <c r="K414" s="11"/>
      <c r="L414" s="2"/>
      <c r="M414" s="126"/>
      <c r="N414" s="127"/>
    </row>
    <row r="415" spans="2:14" x14ac:dyDescent="0.3">
      <c r="B415" s="21"/>
      <c r="C415" s="4"/>
      <c r="D415" s="4"/>
      <c r="E415" s="4"/>
      <c r="F415" s="4"/>
      <c r="G415" s="4"/>
      <c r="H415" s="4"/>
      <c r="I415" s="128" t="s">
        <v>16</v>
      </c>
      <c r="J415" s="129"/>
      <c r="K415" s="10">
        <f>K409</f>
        <v>299500</v>
      </c>
      <c r="L415" s="30" t="s">
        <v>88</v>
      </c>
      <c r="M415" s="128">
        <f>M409</f>
        <v>299500</v>
      </c>
      <c r="N415" s="130"/>
    </row>
    <row r="416" spans="2:14" x14ac:dyDescent="0.3">
      <c r="B416" s="17"/>
      <c r="N416" s="18"/>
    </row>
    <row r="417" spans="2:14" x14ac:dyDescent="0.3">
      <c r="B417" s="15" t="s">
        <v>17</v>
      </c>
      <c r="C417" s="131" t="s">
        <v>22</v>
      </c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2"/>
    </row>
    <row r="418" spans="2:14" x14ac:dyDescent="0.3">
      <c r="B418" s="21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4"/>
    </row>
    <row r="419" spans="2:14" x14ac:dyDescent="0.3">
      <c r="B419" s="17"/>
      <c r="N419" s="18"/>
    </row>
    <row r="420" spans="2:14" x14ac:dyDescent="0.3">
      <c r="B420" s="17"/>
      <c r="N420" s="18"/>
    </row>
    <row r="421" spans="2:14" x14ac:dyDescent="0.3">
      <c r="B421" s="17"/>
      <c r="L421" s="8" t="s">
        <v>18</v>
      </c>
      <c r="N421" s="18"/>
    </row>
    <row r="422" spans="2:14" x14ac:dyDescent="0.3">
      <c r="B422" s="17"/>
      <c r="L422" s="8"/>
      <c r="N422" s="18"/>
    </row>
    <row r="423" spans="2:14" x14ac:dyDescent="0.3">
      <c r="B423" s="17"/>
      <c r="L423" s="8"/>
      <c r="N423" s="18"/>
    </row>
    <row r="424" spans="2:14" ht="15" thickBot="1" x14ac:dyDescent="0.35">
      <c r="B424" s="22"/>
      <c r="C424" s="23"/>
      <c r="D424" s="23"/>
      <c r="E424" s="23"/>
      <c r="F424" s="23"/>
      <c r="G424" s="23"/>
      <c r="H424" s="23"/>
      <c r="I424" s="23"/>
      <c r="J424" s="23"/>
      <c r="K424" s="23"/>
      <c r="L424" s="24" t="s">
        <v>19</v>
      </c>
      <c r="M424" s="23"/>
      <c r="N424" s="25"/>
    </row>
    <row r="426" spans="2:14" ht="15" thickBot="1" x14ac:dyDescent="0.35"/>
    <row r="427" spans="2:14" ht="23.4" x14ac:dyDescent="0.45">
      <c r="B427" s="135" t="s">
        <v>11</v>
      </c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7"/>
    </row>
    <row r="428" spans="2:14" x14ac:dyDescent="0.3">
      <c r="B428" s="138" t="s">
        <v>12</v>
      </c>
      <c r="C428" s="139"/>
      <c r="D428" s="139"/>
      <c r="E428" s="139"/>
      <c r="F428" s="139"/>
      <c r="G428" s="139"/>
      <c r="H428" s="139"/>
      <c r="I428" s="139"/>
      <c r="J428" s="139"/>
      <c r="K428" s="139"/>
      <c r="L428" s="139"/>
      <c r="M428" s="139"/>
      <c r="N428" s="140"/>
    </row>
    <row r="429" spans="2:14" ht="15.6" x14ac:dyDescent="0.3">
      <c r="B429" s="141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3"/>
    </row>
    <row r="430" spans="2:14" ht="15.6" x14ac:dyDescent="0.3">
      <c r="B430" s="144" t="s">
        <v>0</v>
      </c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6"/>
    </row>
    <row r="431" spans="2:14" x14ac:dyDescent="0.3">
      <c r="B431" s="15" t="s">
        <v>1</v>
      </c>
      <c r="C431" s="14"/>
      <c r="D431" s="14"/>
      <c r="E431" s="14"/>
      <c r="F431" s="14"/>
      <c r="G431" s="13"/>
      <c r="H431" s="12"/>
      <c r="I431" s="14"/>
      <c r="J431" s="14" t="s">
        <v>20</v>
      </c>
      <c r="K431" s="14" t="s">
        <v>353</v>
      </c>
      <c r="L431" s="14"/>
      <c r="M431" s="14"/>
      <c r="N431" s="16"/>
    </row>
    <row r="432" spans="2:14" x14ac:dyDescent="0.3">
      <c r="B432" s="17" t="s">
        <v>2</v>
      </c>
      <c r="G432" s="2"/>
      <c r="H432" s="1"/>
      <c r="J432" t="s">
        <v>13</v>
      </c>
      <c r="K432" t="s">
        <v>350</v>
      </c>
      <c r="N432" s="18"/>
    </row>
    <row r="433" spans="2:14" x14ac:dyDescent="0.3">
      <c r="B433" s="17" t="s">
        <v>23</v>
      </c>
      <c r="G433" s="2"/>
      <c r="H433" s="1"/>
      <c r="N433" s="18"/>
    </row>
    <row r="434" spans="2:14" x14ac:dyDescent="0.3">
      <c r="B434" s="17" t="s">
        <v>24</v>
      </c>
      <c r="G434" s="2"/>
      <c r="H434" s="1"/>
      <c r="N434" s="18"/>
    </row>
    <row r="435" spans="2:14" x14ac:dyDescent="0.3">
      <c r="B435" s="17" t="s">
        <v>3</v>
      </c>
      <c r="C435" t="s">
        <v>4</v>
      </c>
      <c r="G435" s="2"/>
      <c r="H435" s="1"/>
      <c r="N435" s="18"/>
    </row>
    <row r="436" spans="2:14" x14ac:dyDescent="0.3">
      <c r="B436" s="17" t="s">
        <v>5</v>
      </c>
      <c r="C436" s="4"/>
      <c r="D436" s="4"/>
      <c r="E436" s="4"/>
      <c r="F436" s="4"/>
      <c r="G436" s="5"/>
      <c r="H436" s="3"/>
      <c r="I436" s="4"/>
      <c r="J436" s="4"/>
      <c r="K436" s="4"/>
      <c r="L436" s="4"/>
      <c r="M436" s="4"/>
      <c r="N436" s="19"/>
    </row>
    <row r="437" spans="2:14" x14ac:dyDescent="0.3">
      <c r="B437" s="147" t="s">
        <v>6</v>
      </c>
      <c r="C437" s="148"/>
      <c r="D437" s="148"/>
      <c r="E437" s="148"/>
      <c r="F437" s="148"/>
      <c r="G437" s="148"/>
      <c r="H437" s="148"/>
      <c r="I437" s="148"/>
      <c r="J437" s="129"/>
      <c r="K437" s="9" t="s">
        <v>8</v>
      </c>
      <c r="L437" s="7" t="s">
        <v>9</v>
      </c>
      <c r="M437" s="6" t="s">
        <v>10</v>
      </c>
      <c r="N437" s="20"/>
    </row>
    <row r="438" spans="2:14" x14ac:dyDescent="0.3">
      <c r="B438" s="15"/>
      <c r="C438" s="14"/>
      <c r="D438" s="14"/>
      <c r="E438" s="14"/>
      <c r="F438" s="14"/>
      <c r="G438" s="14"/>
      <c r="H438" s="14"/>
      <c r="I438" s="14"/>
      <c r="J438" s="13"/>
      <c r="K438" s="11"/>
      <c r="L438" s="2"/>
      <c r="M438" s="121"/>
      <c r="N438" s="122"/>
    </row>
    <row r="439" spans="2:14" x14ac:dyDescent="0.3">
      <c r="B439" s="118" t="s">
        <v>354</v>
      </c>
      <c r="C439" s="119"/>
      <c r="D439" s="119"/>
      <c r="E439" s="119"/>
      <c r="F439" s="119"/>
      <c r="G439" s="119"/>
      <c r="H439" s="119"/>
      <c r="I439" s="119"/>
      <c r="J439" s="123"/>
      <c r="K439" s="11">
        <v>353000</v>
      </c>
      <c r="L439" s="29">
        <v>0</v>
      </c>
      <c r="M439" s="124">
        <f>K439</f>
        <v>353000</v>
      </c>
      <c r="N439" s="125"/>
    </row>
    <row r="440" spans="2:14" x14ac:dyDescent="0.3">
      <c r="B440" s="17"/>
      <c r="J440" s="2"/>
      <c r="K440" s="11"/>
      <c r="L440" s="2"/>
      <c r="M440" s="124"/>
      <c r="N440" s="125"/>
    </row>
    <row r="441" spans="2:14" x14ac:dyDescent="0.3">
      <c r="B441" s="17"/>
      <c r="D441" t="s">
        <v>21</v>
      </c>
      <c r="J441" s="2"/>
      <c r="K441" s="11"/>
      <c r="L441" s="2"/>
      <c r="M441" s="124"/>
      <c r="N441" s="125"/>
    </row>
    <row r="442" spans="2:14" x14ac:dyDescent="0.3">
      <c r="B442" s="17"/>
      <c r="J442" s="2"/>
      <c r="K442" s="11"/>
      <c r="L442" s="2"/>
      <c r="M442" s="124"/>
      <c r="N442" s="125"/>
    </row>
    <row r="443" spans="2:14" x14ac:dyDescent="0.3">
      <c r="B443" s="17"/>
      <c r="J443" s="2"/>
      <c r="K443" s="11"/>
      <c r="L443" s="2"/>
      <c r="M443" s="124"/>
      <c r="N443" s="125"/>
    </row>
    <row r="444" spans="2:14" x14ac:dyDescent="0.3">
      <c r="B444" s="17"/>
      <c r="J444" s="2"/>
      <c r="K444" s="11"/>
      <c r="L444" s="2"/>
      <c r="M444" s="126"/>
      <c r="N444" s="127"/>
    </row>
    <row r="445" spans="2:14" x14ac:dyDescent="0.3">
      <c r="B445" s="21"/>
      <c r="C445" s="4"/>
      <c r="D445" s="4"/>
      <c r="E445" s="4"/>
      <c r="F445" s="4"/>
      <c r="G445" s="4"/>
      <c r="H445" s="4"/>
      <c r="I445" s="128" t="s">
        <v>16</v>
      </c>
      <c r="J445" s="129"/>
      <c r="K445" s="10">
        <f>K439</f>
        <v>353000</v>
      </c>
      <c r="L445" s="30" t="s">
        <v>88</v>
      </c>
      <c r="M445" s="128">
        <f>M439</f>
        <v>353000</v>
      </c>
      <c r="N445" s="130"/>
    </row>
    <row r="446" spans="2:14" x14ac:dyDescent="0.3">
      <c r="B446" s="17"/>
      <c r="N446" s="18"/>
    </row>
    <row r="447" spans="2:14" x14ac:dyDescent="0.3">
      <c r="B447" s="15" t="s">
        <v>17</v>
      </c>
      <c r="C447" s="131" t="s">
        <v>22</v>
      </c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2"/>
    </row>
    <row r="448" spans="2:14" x14ac:dyDescent="0.3">
      <c r="B448" s="21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4"/>
    </row>
    <row r="449" spans="2:14" x14ac:dyDescent="0.3">
      <c r="B449" s="17"/>
      <c r="N449" s="18"/>
    </row>
    <row r="450" spans="2:14" x14ac:dyDescent="0.3">
      <c r="B450" s="17"/>
      <c r="N450" s="18"/>
    </row>
    <row r="451" spans="2:14" x14ac:dyDescent="0.3">
      <c r="B451" s="17"/>
      <c r="L451" s="8" t="s">
        <v>18</v>
      </c>
      <c r="N451" s="18"/>
    </row>
    <row r="452" spans="2:14" x14ac:dyDescent="0.3">
      <c r="B452" s="17"/>
      <c r="L452" s="8"/>
      <c r="N452" s="18"/>
    </row>
    <row r="453" spans="2:14" x14ac:dyDescent="0.3">
      <c r="B453" s="17"/>
      <c r="L453" s="8"/>
      <c r="N453" s="18"/>
    </row>
    <row r="454" spans="2:14" ht="15" thickBot="1" x14ac:dyDescent="0.35">
      <c r="B454" s="22"/>
      <c r="C454" s="23"/>
      <c r="D454" s="23"/>
      <c r="E454" s="23"/>
      <c r="F454" s="23"/>
      <c r="G454" s="23"/>
      <c r="H454" s="23"/>
      <c r="I454" s="23"/>
      <c r="J454" s="23"/>
      <c r="K454" s="23"/>
      <c r="L454" s="24" t="s">
        <v>19</v>
      </c>
      <c r="M454" s="23"/>
      <c r="N454" s="25"/>
    </row>
    <row r="456" spans="2:14" ht="15" thickBot="1" x14ac:dyDescent="0.35"/>
    <row r="457" spans="2:14" ht="23.4" x14ac:dyDescent="0.45">
      <c r="B457" s="135" t="s">
        <v>11</v>
      </c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7"/>
    </row>
    <row r="458" spans="2:14" x14ac:dyDescent="0.3">
      <c r="B458" s="138" t="s">
        <v>12</v>
      </c>
      <c r="C458" s="139"/>
      <c r="D458" s="139"/>
      <c r="E458" s="139"/>
      <c r="F458" s="139"/>
      <c r="G458" s="139"/>
      <c r="H458" s="139"/>
      <c r="I458" s="139"/>
      <c r="J458" s="139"/>
      <c r="K458" s="139"/>
      <c r="L458" s="139"/>
      <c r="M458" s="139"/>
      <c r="N458" s="140"/>
    </row>
    <row r="459" spans="2:14" ht="15.6" x14ac:dyDescent="0.3">
      <c r="B459" s="141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3"/>
    </row>
    <row r="460" spans="2:14" ht="15.6" x14ac:dyDescent="0.3">
      <c r="B460" s="144" t="s">
        <v>0</v>
      </c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6"/>
    </row>
    <row r="461" spans="2:14" x14ac:dyDescent="0.3">
      <c r="B461" s="15" t="s">
        <v>1</v>
      </c>
      <c r="C461" s="14"/>
      <c r="D461" s="14"/>
      <c r="E461" s="14"/>
      <c r="F461" s="14"/>
      <c r="G461" s="13"/>
      <c r="H461" s="12"/>
      <c r="I461" s="14"/>
      <c r="J461" s="14" t="s">
        <v>20</v>
      </c>
      <c r="K461" s="14" t="s">
        <v>394</v>
      </c>
      <c r="L461" s="14"/>
      <c r="M461" s="14"/>
      <c r="N461" s="16"/>
    </row>
    <row r="462" spans="2:14" x14ac:dyDescent="0.3">
      <c r="B462" s="17" t="s">
        <v>2</v>
      </c>
      <c r="G462" s="2"/>
      <c r="H462" s="1"/>
      <c r="J462" t="s">
        <v>13</v>
      </c>
      <c r="K462" t="s">
        <v>375</v>
      </c>
      <c r="N462" s="18"/>
    </row>
    <row r="463" spans="2:14" x14ac:dyDescent="0.3">
      <c r="B463" s="17" t="s">
        <v>23</v>
      </c>
      <c r="G463" s="2"/>
      <c r="H463" s="1"/>
      <c r="N463" s="18"/>
    </row>
    <row r="464" spans="2:14" x14ac:dyDescent="0.3">
      <c r="B464" s="17" t="s">
        <v>24</v>
      </c>
      <c r="G464" s="2"/>
      <c r="H464" s="1"/>
      <c r="N464" s="18"/>
    </row>
    <row r="465" spans="2:14" x14ac:dyDescent="0.3">
      <c r="B465" s="17" t="s">
        <v>3</v>
      </c>
      <c r="C465" t="s">
        <v>4</v>
      </c>
      <c r="G465" s="2"/>
      <c r="H465" s="1"/>
      <c r="N465" s="18"/>
    </row>
    <row r="466" spans="2:14" x14ac:dyDescent="0.3">
      <c r="B466" s="17" t="s">
        <v>5</v>
      </c>
      <c r="C466" s="4"/>
      <c r="D466" s="4"/>
      <c r="E466" s="4"/>
      <c r="F466" s="4"/>
      <c r="G466" s="5"/>
      <c r="H466" s="3"/>
      <c r="I466" s="4"/>
      <c r="J466" s="4"/>
      <c r="K466" s="4"/>
      <c r="L466" s="4"/>
      <c r="M466" s="4"/>
      <c r="N466" s="19"/>
    </row>
    <row r="467" spans="2:14" x14ac:dyDescent="0.3">
      <c r="B467" s="147" t="s">
        <v>6</v>
      </c>
      <c r="C467" s="148"/>
      <c r="D467" s="148"/>
      <c r="E467" s="148"/>
      <c r="F467" s="148"/>
      <c r="G467" s="148"/>
      <c r="H467" s="148"/>
      <c r="I467" s="148"/>
      <c r="J467" s="129"/>
      <c r="K467" s="9" t="s">
        <v>8</v>
      </c>
      <c r="L467" s="7" t="s">
        <v>9</v>
      </c>
      <c r="M467" s="6" t="s">
        <v>10</v>
      </c>
      <c r="N467" s="20"/>
    </row>
    <row r="468" spans="2:14" x14ac:dyDescent="0.3">
      <c r="B468" s="15"/>
      <c r="C468" s="14"/>
      <c r="D468" s="14"/>
      <c r="E468" s="14"/>
      <c r="F468" s="14"/>
      <c r="G468" s="14"/>
      <c r="H468" s="14"/>
      <c r="I468" s="14"/>
      <c r="J468" s="13"/>
      <c r="K468" s="11"/>
      <c r="L468" s="2"/>
      <c r="M468" s="121"/>
      <c r="N468" s="122"/>
    </row>
    <row r="469" spans="2:14" x14ac:dyDescent="0.3">
      <c r="B469" s="118" t="s">
        <v>395</v>
      </c>
      <c r="C469" s="119"/>
      <c r="D469" s="119"/>
      <c r="E469" s="119"/>
      <c r="F469" s="119"/>
      <c r="G469" s="119"/>
      <c r="H469" s="119"/>
      <c r="I469" s="119"/>
      <c r="J469" s="123"/>
      <c r="K469" s="11">
        <v>599000</v>
      </c>
      <c r="L469" s="29">
        <v>0</v>
      </c>
      <c r="M469" s="124">
        <f>K469</f>
        <v>599000</v>
      </c>
      <c r="N469" s="125"/>
    </row>
    <row r="470" spans="2:14" x14ac:dyDescent="0.3">
      <c r="B470" s="17"/>
      <c r="J470" s="2"/>
      <c r="K470" s="11"/>
      <c r="L470" s="2"/>
      <c r="M470" s="124"/>
      <c r="N470" s="125"/>
    </row>
    <row r="471" spans="2:14" x14ac:dyDescent="0.3">
      <c r="B471" s="17"/>
      <c r="D471" t="s">
        <v>21</v>
      </c>
      <c r="J471" s="2"/>
      <c r="K471" s="11"/>
      <c r="L471" s="2"/>
      <c r="M471" s="124"/>
      <c r="N471" s="125"/>
    </row>
    <row r="472" spans="2:14" x14ac:dyDescent="0.3">
      <c r="B472" s="17"/>
      <c r="J472" s="2"/>
      <c r="K472" s="11"/>
      <c r="L472" s="2"/>
      <c r="M472" s="124"/>
      <c r="N472" s="125"/>
    </row>
    <row r="473" spans="2:14" x14ac:dyDescent="0.3">
      <c r="B473" s="17"/>
      <c r="J473" s="2"/>
      <c r="K473" s="11"/>
      <c r="L473" s="2"/>
      <c r="M473" s="124"/>
      <c r="N473" s="125"/>
    </row>
    <row r="474" spans="2:14" x14ac:dyDescent="0.3">
      <c r="B474" s="17"/>
      <c r="J474" s="2"/>
      <c r="K474" s="11"/>
      <c r="L474" s="2"/>
      <c r="M474" s="126"/>
      <c r="N474" s="127"/>
    </row>
    <row r="475" spans="2:14" x14ac:dyDescent="0.3">
      <c r="B475" s="21"/>
      <c r="C475" s="4"/>
      <c r="D475" s="4"/>
      <c r="E475" s="4"/>
      <c r="F475" s="4"/>
      <c r="G475" s="4"/>
      <c r="H475" s="4"/>
      <c r="I475" s="128" t="s">
        <v>16</v>
      </c>
      <c r="J475" s="129"/>
      <c r="K475" s="10">
        <f>K469</f>
        <v>599000</v>
      </c>
      <c r="L475" s="30" t="s">
        <v>88</v>
      </c>
      <c r="M475" s="128">
        <f>M469</f>
        <v>599000</v>
      </c>
      <c r="N475" s="130"/>
    </row>
    <row r="476" spans="2:14" x14ac:dyDescent="0.3">
      <c r="B476" s="17"/>
      <c r="N476" s="18"/>
    </row>
    <row r="477" spans="2:14" x14ac:dyDescent="0.3">
      <c r="B477" s="15" t="s">
        <v>17</v>
      </c>
      <c r="C477" s="131" t="s">
        <v>22</v>
      </c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2"/>
    </row>
    <row r="478" spans="2:14" x14ac:dyDescent="0.3">
      <c r="B478" s="21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4"/>
    </row>
    <row r="479" spans="2:14" x14ac:dyDescent="0.3">
      <c r="B479" s="17"/>
      <c r="N479" s="18"/>
    </row>
    <row r="480" spans="2:14" x14ac:dyDescent="0.3">
      <c r="B480" s="17"/>
      <c r="N480" s="18"/>
    </row>
    <row r="481" spans="2:14" x14ac:dyDescent="0.3">
      <c r="B481" s="17"/>
      <c r="L481" s="8" t="s">
        <v>18</v>
      </c>
      <c r="N481" s="18"/>
    </row>
    <row r="482" spans="2:14" x14ac:dyDescent="0.3">
      <c r="B482" s="17"/>
      <c r="L482" s="8"/>
      <c r="N482" s="18"/>
    </row>
    <row r="483" spans="2:14" x14ac:dyDescent="0.3">
      <c r="B483" s="17"/>
      <c r="L483" s="8"/>
      <c r="N483" s="18"/>
    </row>
    <row r="484" spans="2:14" ht="15" thickBot="1" x14ac:dyDescent="0.35">
      <c r="B484" s="22"/>
      <c r="C484" s="23"/>
      <c r="D484" s="23"/>
      <c r="E484" s="23"/>
      <c r="F484" s="23"/>
      <c r="G484" s="23"/>
      <c r="H484" s="23"/>
      <c r="I484" s="23"/>
      <c r="J484" s="23"/>
      <c r="K484" s="23"/>
      <c r="L484" s="24" t="s">
        <v>19</v>
      </c>
      <c r="M484" s="23"/>
      <c r="N484" s="25"/>
    </row>
    <row r="485" spans="2:14" ht="15" thickBot="1" x14ac:dyDescent="0.35"/>
    <row r="486" spans="2:14" ht="23.4" x14ac:dyDescent="0.45">
      <c r="B486" s="135" t="s">
        <v>11</v>
      </c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7"/>
    </row>
    <row r="487" spans="2:14" x14ac:dyDescent="0.3">
      <c r="B487" s="138" t="s">
        <v>12</v>
      </c>
      <c r="C487" s="139"/>
      <c r="D487" s="139"/>
      <c r="E487" s="139"/>
      <c r="F487" s="139"/>
      <c r="G487" s="139"/>
      <c r="H487" s="139"/>
      <c r="I487" s="139"/>
      <c r="J487" s="139"/>
      <c r="K487" s="139"/>
      <c r="L487" s="139"/>
      <c r="M487" s="139"/>
      <c r="N487" s="140"/>
    </row>
    <row r="488" spans="2:14" ht="15.6" x14ac:dyDescent="0.3">
      <c r="B488" s="141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3"/>
    </row>
    <row r="489" spans="2:14" ht="15.6" x14ac:dyDescent="0.3">
      <c r="B489" s="144" t="s">
        <v>0</v>
      </c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6"/>
    </row>
    <row r="490" spans="2:14" x14ac:dyDescent="0.3">
      <c r="B490" s="15" t="s">
        <v>1</v>
      </c>
      <c r="C490" s="14"/>
      <c r="D490" s="14"/>
      <c r="E490" s="14"/>
      <c r="F490" s="14"/>
      <c r="G490" s="13"/>
      <c r="H490" s="12"/>
      <c r="I490" s="14"/>
      <c r="J490" s="14" t="s">
        <v>20</v>
      </c>
      <c r="K490" s="14" t="s">
        <v>396</v>
      </c>
      <c r="L490" s="14"/>
      <c r="M490" s="14"/>
      <c r="N490" s="16"/>
    </row>
    <row r="491" spans="2:14" x14ac:dyDescent="0.3">
      <c r="B491" s="17" t="s">
        <v>2</v>
      </c>
      <c r="G491" s="2"/>
      <c r="H491" s="1"/>
      <c r="J491" t="s">
        <v>13</v>
      </c>
      <c r="K491" t="s">
        <v>391</v>
      </c>
      <c r="N491" s="18"/>
    </row>
    <row r="492" spans="2:14" x14ac:dyDescent="0.3">
      <c r="B492" s="17" t="s">
        <v>23</v>
      </c>
      <c r="G492" s="2"/>
      <c r="H492" s="1"/>
      <c r="N492" s="18"/>
    </row>
    <row r="493" spans="2:14" x14ac:dyDescent="0.3">
      <c r="B493" s="17" t="s">
        <v>24</v>
      </c>
      <c r="G493" s="2"/>
      <c r="H493" s="1"/>
      <c r="N493" s="18"/>
    </row>
    <row r="494" spans="2:14" x14ac:dyDescent="0.3">
      <c r="B494" s="17" t="s">
        <v>3</v>
      </c>
      <c r="C494" t="s">
        <v>4</v>
      </c>
      <c r="G494" s="2"/>
      <c r="H494" s="1"/>
      <c r="N494" s="18"/>
    </row>
    <row r="495" spans="2:14" x14ac:dyDescent="0.3">
      <c r="B495" s="17" t="s">
        <v>5</v>
      </c>
      <c r="C495" s="4"/>
      <c r="D495" s="4"/>
      <c r="E495" s="4"/>
      <c r="F495" s="4"/>
      <c r="G495" s="5"/>
      <c r="H495" s="3"/>
      <c r="I495" s="4"/>
      <c r="J495" s="4"/>
      <c r="K495" s="4"/>
      <c r="L495" s="4"/>
      <c r="M495" s="4"/>
      <c r="N495" s="19"/>
    </row>
    <row r="496" spans="2:14" x14ac:dyDescent="0.3">
      <c r="B496" s="147" t="s">
        <v>6</v>
      </c>
      <c r="C496" s="148"/>
      <c r="D496" s="148"/>
      <c r="E496" s="148"/>
      <c r="F496" s="148"/>
      <c r="G496" s="148"/>
      <c r="H496" s="148"/>
      <c r="I496" s="148"/>
      <c r="J496" s="129"/>
      <c r="K496" s="9" t="s">
        <v>8</v>
      </c>
      <c r="L496" s="7" t="s">
        <v>9</v>
      </c>
      <c r="M496" s="6" t="s">
        <v>10</v>
      </c>
      <c r="N496" s="20"/>
    </row>
    <row r="497" spans="2:14" x14ac:dyDescent="0.3">
      <c r="B497" s="15"/>
      <c r="C497" s="14"/>
      <c r="D497" s="14"/>
      <c r="E497" s="14"/>
      <c r="F497" s="14"/>
      <c r="G497" s="14"/>
      <c r="H497" s="14"/>
      <c r="I497" s="14"/>
      <c r="J497" s="13"/>
      <c r="K497" s="11"/>
      <c r="L497" s="2"/>
      <c r="M497" s="121"/>
      <c r="N497" s="122"/>
    </row>
    <row r="498" spans="2:14" x14ac:dyDescent="0.3">
      <c r="B498" s="118" t="s">
        <v>397</v>
      </c>
      <c r="C498" s="119"/>
      <c r="D498" s="119"/>
      <c r="E498" s="119"/>
      <c r="F498" s="119"/>
      <c r="G498" s="119"/>
      <c r="H498" s="119"/>
      <c r="I498" s="119"/>
      <c r="J498" s="123"/>
      <c r="K498" s="11">
        <v>373500</v>
      </c>
      <c r="L498" s="29">
        <v>0</v>
      </c>
      <c r="M498" s="124">
        <f>K498</f>
        <v>373500</v>
      </c>
      <c r="N498" s="125"/>
    </row>
    <row r="499" spans="2:14" x14ac:dyDescent="0.3">
      <c r="B499" s="17"/>
      <c r="J499" s="2"/>
      <c r="K499" s="11"/>
      <c r="L499" s="2"/>
      <c r="M499" s="124"/>
      <c r="N499" s="125"/>
    </row>
    <row r="500" spans="2:14" x14ac:dyDescent="0.3">
      <c r="B500" s="17"/>
      <c r="D500" t="s">
        <v>21</v>
      </c>
      <c r="J500" s="2"/>
      <c r="K500" s="11"/>
      <c r="L500" s="2"/>
      <c r="M500" s="124"/>
      <c r="N500" s="125"/>
    </row>
    <row r="501" spans="2:14" x14ac:dyDescent="0.3">
      <c r="B501" s="17"/>
      <c r="J501" s="2"/>
      <c r="K501" s="11"/>
      <c r="L501" s="2"/>
      <c r="M501" s="124"/>
      <c r="N501" s="125"/>
    </row>
    <row r="502" spans="2:14" x14ac:dyDescent="0.3">
      <c r="B502" s="17"/>
      <c r="J502" s="2"/>
      <c r="K502" s="11"/>
      <c r="L502" s="2"/>
      <c r="M502" s="124"/>
      <c r="N502" s="125"/>
    </row>
    <row r="503" spans="2:14" x14ac:dyDescent="0.3">
      <c r="B503" s="17"/>
      <c r="J503" s="2"/>
      <c r="K503" s="11"/>
      <c r="L503" s="2"/>
      <c r="M503" s="126"/>
      <c r="N503" s="127"/>
    </row>
    <row r="504" spans="2:14" x14ac:dyDescent="0.3">
      <c r="B504" s="21"/>
      <c r="C504" s="4"/>
      <c r="D504" s="4"/>
      <c r="E504" s="4"/>
      <c r="F504" s="4"/>
      <c r="G504" s="4"/>
      <c r="H504" s="4"/>
      <c r="I504" s="128" t="s">
        <v>16</v>
      </c>
      <c r="J504" s="129"/>
      <c r="K504" s="10">
        <f>K498</f>
        <v>373500</v>
      </c>
      <c r="L504" s="30" t="s">
        <v>88</v>
      </c>
      <c r="M504" s="128">
        <f>M498</f>
        <v>373500</v>
      </c>
      <c r="N504" s="130"/>
    </row>
    <row r="505" spans="2:14" x14ac:dyDescent="0.3">
      <c r="B505" s="17"/>
      <c r="N505" s="18"/>
    </row>
    <row r="506" spans="2:14" x14ac:dyDescent="0.3">
      <c r="B506" s="15" t="s">
        <v>17</v>
      </c>
      <c r="C506" s="131" t="s">
        <v>22</v>
      </c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2"/>
    </row>
    <row r="507" spans="2:14" x14ac:dyDescent="0.3">
      <c r="B507" s="21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4"/>
    </row>
    <row r="508" spans="2:14" x14ac:dyDescent="0.3">
      <c r="B508" s="17"/>
      <c r="N508" s="18"/>
    </row>
    <row r="509" spans="2:14" x14ac:dyDescent="0.3">
      <c r="B509" s="17"/>
      <c r="N509" s="18"/>
    </row>
    <row r="510" spans="2:14" x14ac:dyDescent="0.3">
      <c r="B510" s="17"/>
      <c r="L510" s="8" t="s">
        <v>18</v>
      </c>
      <c r="N510" s="18"/>
    </row>
    <row r="511" spans="2:14" x14ac:dyDescent="0.3">
      <c r="B511" s="17"/>
      <c r="L511" s="8"/>
      <c r="N511" s="18"/>
    </row>
    <row r="512" spans="2:14" x14ac:dyDescent="0.3">
      <c r="B512" s="17"/>
      <c r="L512" s="8"/>
      <c r="N512" s="18"/>
    </row>
    <row r="513" spans="2:14" ht="15" thickBot="1" x14ac:dyDescent="0.35">
      <c r="B513" s="22"/>
      <c r="C513" s="23"/>
      <c r="D513" s="23"/>
      <c r="E513" s="23"/>
      <c r="F513" s="23"/>
      <c r="G513" s="23"/>
      <c r="H513" s="23"/>
      <c r="I513" s="23"/>
      <c r="J513" s="23"/>
      <c r="K513" s="23"/>
      <c r="L513" s="24" t="s">
        <v>19</v>
      </c>
      <c r="M513" s="23"/>
      <c r="N513" s="25"/>
    </row>
    <row r="515" spans="2:14" ht="15" thickBot="1" x14ac:dyDescent="0.35"/>
    <row r="516" spans="2:14" ht="23.4" x14ac:dyDescent="0.45">
      <c r="B516" s="135" t="s">
        <v>11</v>
      </c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7"/>
    </row>
    <row r="517" spans="2:14" x14ac:dyDescent="0.3">
      <c r="B517" s="138" t="s">
        <v>12</v>
      </c>
      <c r="C517" s="139"/>
      <c r="D517" s="139"/>
      <c r="E517" s="139"/>
      <c r="F517" s="139"/>
      <c r="G517" s="139"/>
      <c r="H517" s="139"/>
      <c r="I517" s="139"/>
      <c r="J517" s="139"/>
      <c r="K517" s="139"/>
      <c r="L517" s="139"/>
      <c r="M517" s="139"/>
      <c r="N517" s="140"/>
    </row>
    <row r="518" spans="2:14" ht="15.6" x14ac:dyDescent="0.3">
      <c r="B518" s="141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3"/>
    </row>
    <row r="519" spans="2:14" ht="15.6" x14ac:dyDescent="0.3">
      <c r="B519" s="144" t="s">
        <v>0</v>
      </c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6"/>
    </row>
    <row r="520" spans="2:14" x14ac:dyDescent="0.3">
      <c r="B520" s="15" t="s">
        <v>1</v>
      </c>
      <c r="C520" s="14"/>
      <c r="D520" s="14"/>
      <c r="E520" s="14"/>
      <c r="F520" s="14"/>
      <c r="G520" s="13"/>
      <c r="H520" s="12"/>
      <c r="I520" s="14"/>
      <c r="J520" s="14" t="s">
        <v>20</v>
      </c>
      <c r="K520" s="14" t="s">
        <v>410</v>
      </c>
      <c r="L520" s="14"/>
      <c r="M520" s="14"/>
      <c r="N520" s="16"/>
    </row>
    <row r="521" spans="2:14" x14ac:dyDescent="0.3">
      <c r="B521" s="17" t="s">
        <v>2</v>
      </c>
      <c r="G521" s="2"/>
      <c r="H521" s="1"/>
      <c r="J521" t="s">
        <v>13</v>
      </c>
      <c r="K521" t="s">
        <v>409</v>
      </c>
      <c r="N521" s="18"/>
    </row>
    <row r="522" spans="2:14" x14ac:dyDescent="0.3">
      <c r="B522" s="17" t="s">
        <v>23</v>
      </c>
      <c r="G522" s="2"/>
      <c r="H522" s="1"/>
      <c r="N522" s="18"/>
    </row>
    <row r="523" spans="2:14" x14ac:dyDescent="0.3">
      <c r="B523" s="17" t="s">
        <v>24</v>
      </c>
      <c r="G523" s="2"/>
      <c r="H523" s="1"/>
      <c r="N523" s="18"/>
    </row>
    <row r="524" spans="2:14" x14ac:dyDescent="0.3">
      <c r="B524" s="17" t="s">
        <v>3</v>
      </c>
      <c r="C524" t="s">
        <v>4</v>
      </c>
      <c r="G524" s="2"/>
      <c r="H524" s="1"/>
      <c r="N524" s="18"/>
    </row>
    <row r="525" spans="2:14" x14ac:dyDescent="0.3">
      <c r="B525" s="17" t="s">
        <v>5</v>
      </c>
      <c r="C525" s="4"/>
      <c r="D525" s="4"/>
      <c r="E525" s="4"/>
      <c r="F525" s="4"/>
      <c r="G525" s="5"/>
      <c r="H525" s="3"/>
      <c r="I525" s="4"/>
      <c r="J525" s="4"/>
      <c r="K525" s="4"/>
      <c r="L525" s="4"/>
      <c r="M525" s="4"/>
      <c r="N525" s="19"/>
    </row>
    <row r="526" spans="2:14" x14ac:dyDescent="0.3">
      <c r="B526" s="147" t="s">
        <v>6</v>
      </c>
      <c r="C526" s="148"/>
      <c r="D526" s="148"/>
      <c r="E526" s="148"/>
      <c r="F526" s="148"/>
      <c r="G526" s="148"/>
      <c r="H526" s="148"/>
      <c r="I526" s="148"/>
      <c r="J526" s="129"/>
      <c r="K526" s="9" t="s">
        <v>8</v>
      </c>
      <c r="L526" s="7" t="s">
        <v>9</v>
      </c>
      <c r="M526" s="6" t="s">
        <v>10</v>
      </c>
      <c r="N526" s="20"/>
    </row>
    <row r="527" spans="2:14" x14ac:dyDescent="0.3">
      <c r="B527" s="15"/>
      <c r="C527" s="14"/>
      <c r="D527" s="14"/>
      <c r="E527" s="14"/>
      <c r="F527" s="14"/>
      <c r="G527" s="14"/>
      <c r="H527" s="14"/>
      <c r="I527" s="14"/>
      <c r="J527" s="13"/>
      <c r="K527" s="11"/>
      <c r="L527" s="2"/>
      <c r="M527" s="121"/>
      <c r="N527" s="122"/>
    </row>
    <row r="528" spans="2:14" x14ac:dyDescent="0.3">
      <c r="B528" s="118" t="s">
        <v>411</v>
      </c>
      <c r="C528" s="119"/>
      <c r="D528" s="119"/>
      <c r="E528" s="119"/>
      <c r="F528" s="119"/>
      <c r="G528" s="119"/>
      <c r="H528" s="119"/>
      <c r="I528" s="119"/>
      <c r="J528" s="123"/>
      <c r="K528" s="11">
        <v>257000</v>
      </c>
      <c r="L528" s="29">
        <v>0</v>
      </c>
      <c r="M528" s="124">
        <f>K528</f>
        <v>257000</v>
      </c>
      <c r="N528" s="125"/>
    </row>
    <row r="529" spans="2:14" x14ac:dyDescent="0.3">
      <c r="B529" s="17"/>
      <c r="J529" s="2"/>
      <c r="K529" s="11"/>
      <c r="L529" s="2"/>
      <c r="M529" s="124"/>
      <c r="N529" s="125"/>
    </row>
    <row r="530" spans="2:14" x14ac:dyDescent="0.3">
      <c r="B530" s="17"/>
      <c r="D530" t="s">
        <v>21</v>
      </c>
      <c r="J530" s="2"/>
      <c r="K530" s="11"/>
      <c r="L530" s="2"/>
      <c r="M530" s="124"/>
      <c r="N530" s="125"/>
    </row>
    <row r="531" spans="2:14" x14ac:dyDescent="0.3">
      <c r="B531" s="17"/>
      <c r="J531" s="2"/>
      <c r="K531" s="11"/>
      <c r="L531" s="2"/>
      <c r="M531" s="124"/>
      <c r="N531" s="125"/>
    </row>
    <row r="532" spans="2:14" x14ac:dyDescent="0.3">
      <c r="B532" s="17"/>
      <c r="J532" s="2"/>
      <c r="K532" s="11"/>
      <c r="L532" s="2"/>
      <c r="M532" s="124"/>
      <c r="N532" s="125"/>
    </row>
    <row r="533" spans="2:14" x14ac:dyDescent="0.3">
      <c r="B533" s="17"/>
      <c r="J533" s="2"/>
      <c r="K533" s="11"/>
      <c r="L533" s="2"/>
      <c r="M533" s="126"/>
      <c r="N533" s="127"/>
    </row>
    <row r="534" spans="2:14" x14ac:dyDescent="0.3">
      <c r="B534" s="21"/>
      <c r="C534" s="4"/>
      <c r="D534" s="4"/>
      <c r="E534" s="4"/>
      <c r="F534" s="4"/>
      <c r="G534" s="4"/>
      <c r="H534" s="4"/>
      <c r="I534" s="128" t="s">
        <v>16</v>
      </c>
      <c r="J534" s="129"/>
      <c r="K534" s="10">
        <f>K528</f>
        <v>257000</v>
      </c>
      <c r="L534" s="30" t="s">
        <v>88</v>
      </c>
      <c r="M534" s="128">
        <f>M528</f>
        <v>257000</v>
      </c>
      <c r="N534" s="130"/>
    </row>
    <row r="535" spans="2:14" x14ac:dyDescent="0.3">
      <c r="B535" s="17"/>
      <c r="N535" s="18"/>
    </row>
    <row r="536" spans="2:14" x14ac:dyDescent="0.3">
      <c r="B536" s="15" t="s">
        <v>17</v>
      </c>
      <c r="C536" s="131" t="s">
        <v>22</v>
      </c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2"/>
    </row>
    <row r="537" spans="2:14" x14ac:dyDescent="0.3">
      <c r="B537" s="21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4"/>
    </row>
    <row r="538" spans="2:14" x14ac:dyDescent="0.3">
      <c r="B538" s="17"/>
      <c r="N538" s="18"/>
    </row>
    <row r="539" spans="2:14" x14ac:dyDescent="0.3">
      <c r="B539" s="17"/>
      <c r="N539" s="18"/>
    </row>
    <row r="540" spans="2:14" x14ac:dyDescent="0.3">
      <c r="B540" s="17"/>
      <c r="L540" s="8" t="s">
        <v>18</v>
      </c>
      <c r="N540" s="18"/>
    </row>
    <row r="541" spans="2:14" x14ac:dyDescent="0.3">
      <c r="B541" s="17"/>
      <c r="L541" s="8"/>
      <c r="N541" s="18"/>
    </row>
    <row r="542" spans="2:14" x14ac:dyDescent="0.3">
      <c r="B542" s="17"/>
      <c r="L542" s="8"/>
      <c r="N542" s="18"/>
    </row>
    <row r="543" spans="2:14" ht="15" thickBot="1" x14ac:dyDescent="0.35">
      <c r="B543" s="22"/>
      <c r="C543" s="23"/>
      <c r="D543" s="23"/>
      <c r="E543" s="23"/>
      <c r="F543" s="23"/>
      <c r="G543" s="23"/>
      <c r="H543" s="23"/>
      <c r="I543" s="23"/>
      <c r="J543" s="23"/>
      <c r="K543" s="23"/>
      <c r="L543" s="24" t="s">
        <v>19</v>
      </c>
      <c r="M543" s="23"/>
      <c r="N543" s="25"/>
    </row>
    <row r="545" spans="2:14" ht="15" thickBot="1" x14ac:dyDescent="0.35"/>
    <row r="546" spans="2:14" ht="23.4" x14ac:dyDescent="0.45">
      <c r="B546" s="135" t="s">
        <v>11</v>
      </c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7"/>
    </row>
    <row r="547" spans="2:14" x14ac:dyDescent="0.3">
      <c r="B547" s="138" t="s">
        <v>12</v>
      </c>
      <c r="C547" s="139"/>
      <c r="D547" s="139"/>
      <c r="E547" s="139"/>
      <c r="F547" s="139"/>
      <c r="G547" s="139"/>
      <c r="H547" s="139"/>
      <c r="I547" s="139"/>
      <c r="J547" s="139"/>
      <c r="K547" s="139"/>
      <c r="L547" s="139"/>
      <c r="M547" s="139"/>
      <c r="N547" s="140"/>
    </row>
    <row r="548" spans="2:14" ht="15.6" x14ac:dyDescent="0.3">
      <c r="B548" s="141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3"/>
    </row>
    <row r="549" spans="2:14" ht="15.6" x14ac:dyDescent="0.3">
      <c r="B549" s="144" t="s">
        <v>0</v>
      </c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6"/>
    </row>
    <row r="550" spans="2:14" x14ac:dyDescent="0.3">
      <c r="B550" s="15" t="s">
        <v>1</v>
      </c>
      <c r="C550" s="14"/>
      <c r="D550" s="14"/>
      <c r="E550" s="14"/>
      <c r="F550" s="14"/>
      <c r="G550" s="13"/>
      <c r="H550" s="12"/>
      <c r="I550" s="14"/>
      <c r="J550" s="14" t="s">
        <v>20</v>
      </c>
      <c r="K550" s="14" t="s">
        <v>468</v>
      </c>
      <c r="L550" s="14"/>
      <c r="M550" s="14"/>
      <c r="N550" s="16"/>
    </row>
    <row r="551" spans="2:14" x14ac:dyDescent="0.3">
      <c r="B551" s="17" t="s">
        <v>2</v>
      </c>
      <c r="G551" s="2"/>
      <c r="H551" s="1"/>
      <c r="J551" t="s">
        <v>13</v>
      </c>
      <c r="K551" t="s">
        <v>444</v>
      </c>
      <c r="N551" s="18"/>
    </row>
    <row r="552" spans="2:14" x14ac:dyDescent="0.3">
      <c r="B552" s="17" t="s">
        <v>23</v>
      </c>
      <c r="G552" s="2"/>
      <c r="H552" s="1"/>
      <c r="N552" s="18"/>
    </row>
    <row r="553" spans="2:14" x14ac:dyDescent="0.3">
      <c r="B553" s="17" t="s">
        <v>24</v>
      </c>
      <c r="G553" s="2"/>
      <c r="H553" s="1"/>
      <c r="N553" s="18"/>
    </row>
    <row r="554" spans="2:14" x14ac:dyDescent="0.3">
      <c r="B554" s="17" t="s">
        <v>3</v>
      </c>
      <c r="C554" t="s">
        <v>4</v>
      </c>
      <c r="G554" s="2"/>
      <c r="H554" s="1"/>
      <c r="N554" s="18"/>
    </row>
    <row r="555" spans="2:14" x14ac:dyDescent="0.3">
      <c r="B555" s="17" t="s">
        <v>5</v>
      </c>
      <c r="C555" s="4"/>
      <c r="D555" s="4"/>
      <c r="E555" s="4"/>
      <c r="F555" s="4"/>
      <c r="G555" s="5"/>
      <c r="H555" s="3"/>
      <c r="I555" s="4"/>
      <c r="J555" s="4"/>
      <c r="K555" s="4"/>
      <c r="L555" s="4"/>
      <c r="M555" s="4"/>
      <c r="N555" s="19"/>
    </row>
    <row r="556" spans="2:14" x14ac:dyDescent="0.3">
      <c r="B556" s="147" t="s">
        <v>6</v>
      </c>
      <c r="C556" s="148"/>
      <c r="D556" s="148"/>
      <c r="E556" s="148"/>
      <c r="F556" s="148"/>
      <c r="G556" s="148"/>
      <c r="H556" s="148"/>
      <c r="I556" s="148"/>
      <c r="J556" s="129"/>
      <c r="K556" s="9" t="s">
        <v>8</v>
      </c>
      <c r="L556" s="7" t="s">
        <v>9</v>
      </c>
      <c r="M556" s="6" t="s">
        <v>10</v>
      </c>
      <c r="N556" s="20"/>
    </row>
    <row r="557" spans="2:14" x14ac:dyDescent="0.3">
      <c r="B557" s="15"/>
      <c r="C557" s="14"/>
      <c r="D557" s="14"/>
      <c r="E557" s="14"/>
      <c r="F557" s="14"/>
      <c r="G557" s="14"/>
      <c r="H557" s="14"/>
      <c r="I557" s="14"/>
      <c r="J557" s="13"/>
      <c r="K557" s="11"/>
      <c r="L557" s="2"/>
      <c r="M557" s="121"/>
      <c r="N557" s="122"/>
    </row>
    <row r="558" spans="2:14" x14ac:dyDescent="0.3">
      <c r="B558" s="118" t="s">
        <v>469</v>
      </c>
      <c r="C558" s="119"/>
      <c r="D558" s="119"/>
      <c r="E558" s="119"/>
      <c r="F558" s="119"/>
      <c r="G558" s="119"/>
      <c r="H558" s="119"/>
      <c r="I558" s="119"/>
      <c r="J558" s="123"/>
      <c r="K558" s="11">
        <v>756400</v>
      </c>
      <c r="L558" s="29">
        <v>0</v>
      </c>
      <c r="M558" s="124">
        <f>K558</f>
        <v>756400</v>
      </c>
      <c r="N558" s="125"/>
    </row>
    <row r="559" spans="2:14" x14ac:dyDescent="0.3">
      <c r="B559" s="17"/>
      <c r="J559" s="2"/>
      <c r="K559" s="11"/>
      <c r="L559" s="2"/>
      <c r="M559" s="124"/>
      <c r="N559" s="125"/>
    </row>
    <row r="560" spans="2:14" x14ac:dyDescent="0.3">
      <c r="B560" s="17"/>
      <c r="D560" t="s">
        <v>21</v>
      </c>
      <c r="J560" s="2"/>
      <c r="K560" s="11"/>
      <c r="L560" s="2"/>
      <c r="M560" s="124"/>
      <c r="N560" s="125"/>
    </row>
    <row r="561" spans="2:14" x14ac:dyDescent="0.3">
      <c r="B561" s="17"/>
      <c r="J561" s="2"/>
      <c r="K561" s="11"/>
      <c r="L561" s="2"/>
      <c r="M561" s="124"/>
      <c r="N561" s="125"/>
    </row>
    <row r="562" spans="2:14" x14ac:dyDescent="0.3">
      <c r="B562" s="17"/>
      <c r="J562" s="2"/>
      <c r="K562" s="11"/>
      <c r="L562" s="2"/>
      <c r="M562" s="124"/>
      <c r="N562" s="125"/>
    </row>
    <row r="563" spans="2:14" x14ac:dyDescent="0.3">
      <c r="B563" s="17"/>
      <c r="J563" s="2"/>
      <c r="K563" s="11"/>
      <c r="L563" s="2"/>
      <c r="M563" s="126"/>
      <c r="N563" s="127"/>
    </row>
    <row r="564" spans="2:14" x14ac:dyDescent="0.3">
      <c r="B564" s="21"/>
      <c r="C564" s="4"/>
      <c r="D564" s="4"/>
      <c r="E564" s="4"/>
      <c r="F564" s="4"/>
      <c r="G564" s="4"/>
      <c r="H564" s="4"/>
      <c r="I564" s="128" t="s">
        <v>16</v>
      </c>
      <c r="J564" s="129"/>
      <c r="K564" s="10">
        <f>K558</f>
        <v>756400</v>
      </c>
      <c r="L564" s="30" t="s">
        <v>88</v>
      </c>
      <c r="M564" s="128">
        <f>M558</f>
        <v>756400</v>
      </c>
      <c r="N564" s="130"/>
    </row>
    <row r="565" spans="2:14" x14ac:dyDescent="0.3">
      <c r="B565" s="17"/>
      <c r="N565" s="18"/>
    </row>
    <row r="566" spans="2:14" x14ac:dyDescent="0.3">
      <c r="B566" s="15" t="s">
        <v>17</v>
      </c>
      <c r="C566" s="131" t="s">
        <v>22</v>
      </c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2"/>
    </row>
    <row r="567" spans="2:14" x14ac:dyDescent="0.3">
      <c r="B567" s="21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4"/>
    </row>
    <row r="568" spans="2:14" x14ac:dyDescent="0.3">
      <c r="B568" s="17"/>
      <c r="N568" s="18"/>
    </row>
    <row r="569" spans="2:14" x14ac:dyDescent="0.3">
      <c r="B569" s="17"/>
      <c r="N569" s="18"/>
    </row>
    <row r="570" spans="2:14" x14ac:dyDescent="0.3">
      <c r="B570" s="17"/>
      <c r="L570" s="8" t="s">
        <v>18</v>
      </c>
      <c r="N570" s="18"/>
    </row>
    <row r="571" spans="2:14" x14ac:dyDescent="0.3">
      <c r="B571" s="17"/>
      <c r="L571" s="8"/>
      <c r="N571" s="18"/>
    </row>
    <row r="572" spans="2:14" x14ac:dyDescent="0.3">
      <c r="B572" s="17"/>
      <c r="L572" s="8"/>
      <c r="N572" s="18"/>
    </row>
    <row r="573" spans="2:14" ht="15" thickBot="1" x14ac:dyDescent="0.35">
      <c r="B573" s="22"/>
      <c r="C573" s="23"/>
      <c r="D573" s="23"/>
      <c r="E573" s="23"/>
      <c r="F573" s="23"/>
      <c r="G573" s="23"/>
      <c r="H573" s="23"/>
      <c r="I573" s="23"/>
      <c r="J573" s="23"/>
      <c r="K573" s="23"/>
      <c r="L573" s="24" t="s">
        <v>19</v>
      </c>
      <c r="M573" s="23"/>
      <c r="N573" s="25"/>
    </row>
    <row r="575" spans="2:14" ht="15" thickBot="1" x14ac:dyDescent="0.35"/>
    <row r="576" spans="2:14" ht="23.4" x14ac:dyDescent="0.45">
      <c r="B576" s="135" t="s">
        <v>11</v>
      </c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7"/>
    </row>
    <row r="577" spans="2:14" x14ac:dyDescent="0.3">
      <c r="B577" s="138" t="s">
        <v>12</v>
      </c>
      <c r="C577" s="139"/>
      <c r="D577" s="139"/>
      <c r="E577" s="139"/>
      <c r="F577" s="139"/>
      <c r="G577" s="139"/>
      <c r="H577" s="139"/>
      <c r="I577" s="139"/>
      <c r="J577" s="139"/>
      <c r="K577" s="139"/>
      <c r="L577" s="139"/>
      <c r="M577" s="139"/>
      <c r="N577" s="140"/>
    </row>
    <row r="578" spans="2:14" ht="15.6" x14ac:dyDescent="0.3">
      <c r="B578" s="141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3"/>
    </row>
    <row r="579" spans="2:14" ht="15.6" x14ac:dyDescent="0.3">
      <c r="B579" s="144" t="s">
        <v>0</v>
      </c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6"/>
    </row>
    <row r="580" spans="2:14" x14ac:dyDescent="0.3">
      <c r="B580" s="15" t="s">
        <v>1</v>
      </c>
      <c r="C580" s="14"/>
      <c r="D580" s="14"/>
      <c r="E580" s="14"/>
      <c r="F580" s="14"/>
      <c r="G580" s="13"/>
      <c r="H580" s="12"/>
      <c r="I580" s="14"/>
      <c r="J580" s="14" t="s">
        <v>20</v>
      </c>
      <c r="K580" s="14" t="s">
        <v>443</v>
      </c>
      <c r="L580" s="14"/>
      <c r="M580" s="14"/>
      <c r="N580" s="16"/>
    </row>
    <row r="581" spans="2:14" x14ac:dyDescent="0.3">
      <c r="B581" s="17" t="s">
        <v>2</v>
      </c>
      <c r="G581" s="2"/>
      <c r="H581" s="1"/>
      <c r="J581" t="s">
        <v>13</v>
      </c>
      <c r="K581" t="s">
        <v>488</v>
      </c>
      <c r="N581" s="18"/>
    </row>
    <row r="582" spans="2:14" x14ac:dyDescent="0.3">
      <c r="B582" s="17" t="s">
        <v>23</v>
      </c>
      <c r="G582" s="2"/>
      <c r="H582" s="1"/>
      <c r="N582" s="18"/>
    </row>
    <row r="583" spans="2:14" x14ac:dyDescent="0.3">
      <c r="B583" s="17" t="s">
        <v>24</v>
      </c>
      <c r="G583" s="2"/>
      <c r="H583" s="1"/>
      <c r="N583" s="18"/>
    </row>
    <row r="584" spans="2:14" x14ac:dyDescent="0.3">
      <c r="B584" s="17" t="s">
        <v>3</v>
      </c>
      <c r="C584" t="s">
        <v>4</v>
      </c>
      <c r="G584" s="2"/>
      <c r="H584" s="1"/>
      <c r="N584" s="18"/>
    </row>
    <row r="585" spans="2:14" x14ac:dyDescent="0.3">
      <c r="B585" s="17" t="s">
        <v>5</v>
      </c>
      <c r="C585" s="4"/>
      <c r="D585" s="4"/>
      <c r="E585" s="4"/>
      <c r="F585" s="4"/>
      <c r="G585" s="5"/>
      <c r="H585" s="3"/>
      <c r="I585" s="4"/>
      <c r="J585" s="4"/>
      <c r="K585" s="4"/>
      <c r="L585" s="4"/>
      <c r="M585" s="4"/>
      <c r="N585" s="19"/>
    </row>
    <row r="586" spans="2:14" x14ac:dyDescent="0.3">
      <c r="B586" s="147" t="s">
        <v>6</v>
      </c>
      <c r="C586" s="148"/>
      <c r="D586" s="148"/>
      <c r="E586" s="148"/>
      <c r="F586" s="148"/>
      <c r="G586" s="148"/>
      <c r="H586" s="148"/>
      <c r="I586" s="148"/>
      <c r="J586" s="129"/>
      <c r="K586" s="9" t="s">
        <v>8</v>
      </c>
      <c r="L586" s="7" t="s">
        <v>9</v>
      </c>
      <c r="M586" s="6" t="s">
        <v>10</v>
      </c>
      <c r="N586" s="20"/>
    </row>
    <row r="587" spans="2:14" x14ac:dyDescent="0.3">
      <c r="B587" s="15"/>
      <c r="C587" s="14"/>
      <c r="D587" s="14"/>
      <c r="E587" s="14"/>
      <c r="F587" s="14"/>
      <c r="G587" s="14"/>
      <c r="H587" s="14"/>
      <c r="I587" s="14"/>
      <c r="J587" s="13"/>
      <c r="K587" s="11"/>
      <c r="L587" s="2"/>
      <c r="M587" s="121"/>
      <c r="N587" s="122"/>
    </row>
    <row r="588" spans="2:14" x14ac:dyDescent="0.3">
      <c r="B588" s="118" t="s">
        <v>489</v>
      </c>
      <c r="C588" s="119"/>
      <c r="D588" s="119"/>
      <c r="E588" s="119"/>
      <c r="F588" s="119"/>
      <c r="G588" s="119"/>
      <c r="H588" s="119"/>
      <c r="I588" s="119"/>
      <c r="J588" s="123"/>
      <c r="K588" s="11">
        <v>449800</v>
      </c>
      <c r="L588" s="29">
        <v>0</v>
      </c>
      <c r="M588" s="124">
        <f>K588</f>
        <v>449800</v>
      </c>
      <c r="N588" s="125"/>
    </row>
    <row r="589" spans="2:14" x14ac:dyDescent="0.3">
      <c r="B589" s="17"/>
      <c r="J589" s="2"/>
      <c r="K589" s="11"/>
      <c r="L589" s="2"/>
      <c r="M589" s="124"/>
      <c r="N589" s="125"/>
    </row>
    <row r="590" spans="2:14" x14ac:dyDescent="0.3">
      <c r="B590" s="17"/>
      <c r="D590" t="s">
        <v>21</v>
      </c>
      <c r="J590" s="2"/>
      <c r="K590" s="11"/>
      <c r="L590" s="2"/>
      <c r="M590" s="124"/>
      <c r="N590" s="125"/>
    </row>
    <row r="591" spans="2:14" x14ac:dyDescent="0.3">
      <c r="B591" s="17"/>
      <c r="J591" s="2"/>
      <c r="K591" s="11"/>
      <c r="L591" s="2"/>
      <c r="M591" s="124"/>
      <c r="N591" s="125"/>
    </row>
    <row r="592" spans="2:14" x14ac:dyDescent="0.3">
      <c r="B592" s="17"/>
      <c r="J592" s="2"/>
      <c r="K592" s="11"/>
      <c r="L592" s="2"/>
      <c r="M592" s="124"/>
      <c r="N592" s="125"/>
    </row>
    <row r="593" spans="2:14" x14ac:dyDescent="0.3">
      <c r="B593" s="17"/>
      <c r="J593" s="2"/>
      <c r="K593" s="11"/>
      <c r="L593" s="2"/>
      <c r="M593" s="126"/>
      <c r="N593" s="127"/>
    </row>
    <row r="594" spans="2:14" x14ac:dyDescent="0.3">
      <c r="B594" s="21"/>
      <c r="C594" s="4"/>
      <c r="D594" s="4"/>
      <c r="E594" s="4"/>
      <c r="F594" s="4"/>
      <c r="G594" s="4"/>
      <c r="H594" s="4"/>
      <c r="I594" s="128" t="s">
        <v>16</v>
      </c>
      <c r="J594" s="129"/>
      <c r="K594" s="10">
        <f>K588</f>
        <v>449800</v>
      </c>
      <c r="L594" s="30" t="s">
        <v>88</v>
      </c>
      <c r="M594" s="128">
        <f>M588</f>
        <v>449800</v>
      </c>
      <c r="N594" s="130"/>
    </row>
    <row r="595" spans="2:14" x14ac:dyDescent="0.3">
      <c r="B595" s="17"/>
      <c r="N595" s="18"/>
    </row>
    <row r="596" spans="2:14" x14ac:dyDescent="0.3">
      <c r="B596" s="15" t="s">
        <v>17</v>
      </c>
      <c r="C596" s="131" t="s">
        <v>22</v>
      </c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2"/>
    </row>
    <row r="597" spans="2:14" x14ac:dyDescent="0.3">
      <c r="B597" s="21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4"/>
    </row>
    <row r="598" spans="2:14" x14ac:dyDescent="0.3">
      <c r="B598" s="17"/>
      <c r="N598" s="18"/>
    </row>
    <row r="599" spans="2:14" x14ac:dyDescent="0.3">
      <c r="B599" s="17"/>
      <c r="N599" s="18"/>
    </row>
    <row r="600" spans="2:14" x14ac:dyDescent="0.3">
      <c r="B600" s="17"/>
      <c r="L600" s="8" t="s">
        <v>18</v>
      </c>
      <c r="N600" s="18"/>
    </row>
    <row r="601" spans="2:14" x14ac:dyDescent="0.3">
      <c r="B601" s="17"/>
      <c r="L601" s="8"/>
      <c r="N601" s="18"/>
    </row>
    <row r="602" spans="2:14" x14ac:dyDescent="0.3">
      <c r="B602" s="17"/>
      <c r="L602" s="8"/>
      <c r="N602" s="18"/>
    </row>
    <row r="603" spans="2:14" ht="15" thickBot="1" x14ac:dyDescent="0.35">
      <c r="B603" s="22"/>
      <c r="C603" s="23"/>
      <c r="D603" s="23"/>
      <c r="E603" s="23"/>
      <c r="F603" s="23"/>
      <c r="G603" s="23"/>
      <c r="H603" s="23"/>
      <c r="I603" s="23"/>
      <c r="J603" s="23"/>
      <c r="K603" s="23"/>
      <c r="L603" s="24" t="s">
        <v>19</v>
      </c>
      <c r="M603" s="23"/>
      <c r="N603" s="25"/>
    </row>
    <row r="609" spans="2:14" ht="15" thickBot="1" x14ac:dyDescent="0.35"/>
    <row r="610" spans="2:14" ht="23.4" x14ac:dyDescent="0.45">
      <c r="B610" s="135" t="s">
        <v>11</v>
      </c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7"/>
    </row>
    <row r="611" spans="2:14" x14ac:dyDescent="0.3">
      <c r="B611" s="138" t="s">
        <v>12</v>
      </c>
      <c r="C611" s="139"/>
      <c r="D611" s="139"/>
      <c r="E611" s="139"/>
      <c r="F611" s="139"/>
      <c r="G611" s="139"/>
      <c r="H611" s="139"/>
      <c r="I611" s="139"/>
      <c r="J611" s="139"/>
      <c r="K611" s="139"/>
      <c r="L611" s="139"/>
      <c r="M611" s="139"/>
      <c r="N611" s="140"/>
    </row>
    <row r="612" spans="2:14" ht="15.6" x14ac:dyDescent="0.3">
      <c r="B612" s="141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3"/>
    </row>
    <row r="613" spans="2:14" ht="15.6" x14ac:dyDescent="0.3">
      <c r="B613" s="144" t="s">
        <v>0</v>
      </c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6"/>
    </row>
    <row r="614" spans="2:14" x14ac:dyDescent="0.3">
      <c r="B614" s="15" t="s">
        <v>1</v>
      </c>
      <c r="C614" s="14"/>
      <c r="D614" s="14"/>
      <c r="E614" s="14"/>
      <c r="F614" s="14"/>
      <c r="G614" s="13"/>
      <c r="H614" s="12"/>
      <c r="I614" s="14"/>
      <c r="J614" s="14" t="s">
        <v>20</v>
      </c>
      <c r="K614" s="14" t="s">
        <v>468</v>
      </c>
      <c r="L614" s="14"/>
      <c r="M614" s="14"/>
      <c r="N614" s="16"/>
    </row>
    <row r="615" spans="2:14" x14ac:dyDescent="0.3">
      <c r="B615" s="17" t="s">
        <v>2</v>
      </c>
      <c r="G615" s="2"/>
      <c r="H615" s="1"/>
      <c r="J615" t="s">
        <v>13</v>
      </c>
      <c r="K615" t="s">
        <v>503</v>
      </c>
      <c r="N615" s="18"/>
    </row>
    <row r="616" spans="2:14" x14ac:dyDescent="0.3">
      <c r="B616" s="17" t="s">
        <v>23</v>
      </c>
      <c r="G616" s="2"/>
      <c r="H616" s="1"/>
      <c r="N616" s="18"/>
    </row>
    <row r="617" spans="2:14" x14ac:dyDescent="0.3">
      <c r="B617" s="17" t="s">
        <v>24</v>
      </c>
      <c r="G617" s="2"/>
      <c r="H617" s="1"/>
      <c r="N617" s="18"/>
    </row>
    <row r="618" spans="2:14" x14ac:dyDescent="0.3">
      <c r="B618" s="17" t="s">
        <v>3</v>
      </c>
      <c r="C618" t="s">
        <v>4</v>
      </c>
      <c r="G618" s="2"/>
      <c r="H618" s="1"/>
      <c r="N618" s="18"/>
    </row>
    <row r="619" spans="2:14" x14ac:dyDescent="0.3">
      <c r="B619" s="17" t="s">
        <v>5</v>
      </c>
      <c r="C619" s="4"/>
      <c r="D619" s="4"/>
      <c r="E619" s="4"/>
      <c r="F619" s="4"/>
      <c r="G619" s="5"/>
      <c r="H619" s="3"/>
      <c r="I619" s="4"/>
      <c r="J619" s="4"/>
      <c r="K619" s="4"/>
      <c r="L619" s="4"/>
      <c r="M619" s="4"/>
      <c r="N619" s="19"/>
    </row>
    <row r="620" spans="2:14" x14ac:dyDescent="0.3">
      <c r="B620" s="147" t="s">
        <v>6</v>
      </c>
      <c r="C620" s="148"/>
      <c r="D620" s="148"/>
      <c r="E620" s="148"/>
      <c r="F620" s="148"/>
      <c r="G620" s="148"/>
      <c r="H620" s="148"/>
      <c r="I620" s="148"/>
      <c r="J620" s="129"/>
      <c r="K620" s="9" t="s">
        <v>8</v>
      </c>
      <c r="L620" s="7" t="s">
        <v>9</v>
      </c>
      <c r="M620" s="6" t="s">
        <v>10</v>
      </c>
      <c r="N620" s="20"/>
    </row>
    <row r="621" spans="2:14" x14ac:dyDescent="0.3">
      <c r="B621" s="15"/>
      <c r="C621" s="14"/>
      <c r="D621" s="14"/>
      <c r="E621" s="14"/>
      <c r="F621" s="14"/>
      <c r="G621" s="14"/>
      <c r="H621" s="14"/>
      <c r="I621" s="14"/>
      <c r="J621" s="13"/>
      <c r="K621" s="11"/>
      <c r="L621" s="2"/>
      <c r="M621" s="121"/>
      <c r="N621" s="122"/>
    </row>
    <row r="622" spans="2:14" x14ac:dyDescent="0.3">
      <c r="B622" s="118" t="s">
        <v>504</v>
      </c>
      <c r="C622" s="119"/>
      <c r="D622" s="119"/>
      <c r="E622" s="119"/>
      <c r="F622" s="119"/>
      <c r="G622" s="119"/>
      <c r="H622" s="119"/>
      <c r="I622" s="119"/>
      <c r="J622" s="123"/>
      <c r="K622" s="11">
        <v>477100</v>
      </c>
      <c r="L622" s="29">
        <v>0</v>
      </c>
      <c r="M622" s="124">
        <f>K622</f>
        <v>477100</v>
      </c>
      <c r="N622" s="125"/>
    </row>
    <row r="623" spans="2:14" x14ac:dyDescent="0.3">
      <c r="B623" s="17"/>
      <c r="J623" s="2"/>
      <c r="K623" s="11"/>
      <c r="L623" s="2"/>
      <c r="M623" s="124"/>
      <c r="N623" s="125"/>
    </row>
    <row r="624" spans="2:14" x14ac:dyDescent="0.3">
      <c r="B624" s="17"/>
      <c r="D624" t="s">
        <v>21</v>
      </c>
      <c r="J624" s="2"/>
      <c r="K624" s="11"/>
      <c r="L624" s="2"/>
      <c r="M624" s="124"/>
      <c r="N624" s="125"/>
    </row>
    <row r="625" spans="2:14" x14ac:dyDescent="0.3">
      <c r="B625" s="17"/>
      <c r="J625" s="2"/>
      <c r="K625" s="11"/>
      <c r="L625" s="2"/>
      <c r="M625" s="124"/>
      <c r="N625" s="125"/>
    </row>
    <row r="626" spans="2:14" x14ac:dyDescent="0.3">
      <c r="B626" s="17"/>
      <c r="J626" s="2"/>
      <c r="K626" s="11"/>
      <c r="L626" s="2"/>
      <c r="M626" s="124"/>
      <c r="N626" s="125"/>
    </row>
    <row r="627" spans="2:14" x14ac:dyDescent="0.3">
      <c r="B627" s="17"/>
      <c r="J627" s="2"/>
      <c r="K627" s="11"/>
      <c r="L627" s="2"/>
      <c r="M627" s="126"/>
      <c r="N627" s="127"/>
    </row>
    <row r="628" spans="2:14" x14ac:dyDescent="0.3">
      <c r="B628" s="21"/>
      <c r="C628" s="4"/>
      <c r="D628" s="4"/>
      <c r="E628" s="4"/>
      <c r="F628" s="4"/>
      <c r="G628" s="4"/>
      <c r="H628" s="4"/>
      <c r="I628" s="128" t="s">
        <v>16</v>
      </c>
      <c r="J628" s="129"/>
      <c r="K628" s="10">
        <f>K622</f>
        <v>477100</v>
      </c>
      <c r="L628" s="30" t="s">
        <v>88</v>
      </c>
      <c r="M628" s="128">
        <f>M622</f>
        <v>477100</v>
      </c>
      <c r="N628" s="130"/>
    </row>
    <row r="629" spans="2:14" x14ac:dyDescent="0.3">
      <c r="B629" s="17"/>
      <c r="N629" s="18"/>
    </row>
    <row r="630" spans="2:14" x14ac:dyDescent="0.3">
      <c r="B630" s="15" t="s">
        <v>17</v>
      </c>
      <c r="C630" s="131" t="s">
        <v>22</v>
      </c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2"/>
    </row>
    <row r="631" spans="2:14" x14ac:dyDescent="0.3">
      <c r="B631" s="21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4"/>
    </row>
    <row r="632" spans="2:14" x14ac:dyDescent="0.3">
      <c r="B632" s="17"/>
      <c r="N632" s="18"/>
    </row>
    <row r="633" spans="2:14" x14ac:dyDescent="0.3">
      <c r="B633" s="17"/>
      <c r="N633" s="18"/>
    </row>
    <row r="634" spans="2:14" x14ac:dyDescent="0.3">
      <c r="B634" s="17"/>
      <c r="L634" s="8" t="s">
        <v>18</v>
      </c>
      <c r="N634" s="18"/>
    </row>
    <row r="635" spans="2:14" x14ac:dyDescent="0.3">
      <c r="B635" s="17"/>
      <c r="L635" s="8"/>
      <c r="N635" s="18"/>
    </row>
    <row r="636" spans="2:14" x14ac:dyDescent="0.3">
      <c r="B636" s="17"/>
      <c r="L636" s="8"/>
      <c r="N636" s="18"/>
    </row>
    <row r="637" spans="2:14" ht="15" thickBot="1" x14ac:dyDescent="0.35">
      <c r="B637" s="22"/>
      <c r="C637" s="23"/>
      <c r="D637" s="23"/>
      <c r="E637" s="23"/>
      <c r="F637" s="23"/>
      <c r="G637" s="23"/>
      <c r="H637" s="23"/>
      <c r="I637" s="23"/>
      <c r="J637" s="23"/>
      <c r="K637" s="23"/>
      <c r="L637" s="24" t="s">
        <v>19</v>
      </c>
      <c r="M637" s="23"/>
      <c r="N637" s="25"/>
    </row>
    <row r="642" spans="2:14" ht="15" thickBot="1" x14ac:dyDescent="0.35"/>
    <row r="643" spans="2:14" ht="23.4" x14ac:dyDescent="0.45">
      <c r="B643" s="159" t="s">
        <v>11</v>
      </c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</row>
    <row r="644" spans="2:14" x14ac:dyDescent="0.3">
      <c r="B644" s="160" t="s">
        <v>12</v>
      </c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</row>
    <row r="645" spans="2:14" ht="15.6" x14ac:dyDescent="0.3"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</row>
    <row r="646" spans="2:14" ht="15.6" x14ac:dyDescent="0.3">
      <c r="B646" s="162" t="s">
        <v>0</v>
      </c>
      <c r="C646" s="162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</row>
    <row r="647" spans="2:14" x14ac:dyDescent="0.3">
      <c r="B647" s="15" t="s">
        <v>1</v>
      </c>
      <c r="C647" s="14"/>
      <c r="D647" s="14"/>
      <c r="E647" s="14"/>
      <c r="F647" s="14"/>
      <c r="G647" s="13"/>
      <c r="H647" s="12"/>
      <c r="I647" s="14"/>
      <c r="J647" s="14" t="s">
        <v>20</v>
      </c>
      <c r="K647" s="14" t="s">
        <v>505</v>
      </c>
      <c r="L647" s="14"/>
      <c r="M647" s="14"/>
      <c r="N647" s="16"/>
    </row>
    <row r="648" spans="2:14" x14ac:dyDescent="0.3">
      <c r="B648" s="17" t="s">
        <v>2</v>
      </c>
      <c r="G648" s="2"/>
      <c r="H648" s="1"/>
      <c r="J648" t="s">
        <v>13</v>
      </c>
      <c r="K648" t="s">
        <v>506</v>
      </c>
      <c r="N648" s="18"/>
    </row>
    <row r="649" spans="2:14" x14ac:dyDescent="0.3">
      <c r="B649" s="17" t="s">
        <v>23</v>
      </c>
      <c r="G649" s="2"/>
      <c r="H649" s="1"/>
      <c r="N649" s="18"/>
    </row>
    <row r="650" spans="2:14" x14ac:dyDescent="0.3">
      <c r="B650" s="17" t="s">
        <v>24</v>
      </c>
      <c r="G650" s="2"/>
      <c r="H650" s="1"/>
      <c r="N650" s="18"/>
    </row>
    <row r="651" spans="2:14" x14ac:dyDescent="0.3">
      <c r="B651" s="17" t="s">
        <v>3</v>
      </c>
      <c r="C651" t="s">
        <v>4</v>
      </c>
      <c r="G651" s="2"/>
      <c r="H651" s="1"/>
      <c r="N651" s="18"/>
    </row>
    <row r="652" spans="2:14" x14ac:dyDescent="0.3">
      <c r="B652" s="17" t="s">
        <v>5</v>
      </c>
      <c r="C652" s="4"/>
      <c r="D652" s="4"/>
      <c r="E652" s="4"/>
      <c r="F652" s="4"/>
      <c r="G652" s="5"/>
      <c r="H652" s="3"/>
      <c r="I652" s="4"/>
      <c r="J652" s="4"/>
      <c r="K652" s="4"/>
      <c r="L652" s="4"/>
      <c r="M652" s="4"/>
      <c r="N652" s="19"/>
    </row>
    <row r="653" spans="2:14" x14ac:dyDescent="0.3">
      <c r="B653" s="153" t="s">
        <v>6</v>
      </c>
      <c r="C653" s="153"/>
      <c r="D653" s="153"/>
      <c r="E653" s="153"/>
      <c r="F653" s="153"/>
      <c r="G653" s="153"/>
      <c r="H653" s="153"/>
      <c r="I653" s="153"/>
      <c r="J653" s="153"/>
      <c r="K653" s="73" t="s">
        <v>8</v>
      </c>
      <c r="L653" s="74" t="s">
        <v>9</v>
      </c>
      <c r="M653" s="75" t="s">
        <v>10</v>
      </c>
      <c r="N653" s="76"/>
    </row>
    <row r="654" spans="2:14" x14ac:dyDescent="0.3">
      <c r="B654" s="15"/>
      <c r="C654" s="14"/>
      <c r="D654" s="14"/>
      <c r="E654" s="14"/>
      <c r="F654" s="14"/>
      <c r="G654" s="14"/>
      <c r="H654" s="14"/>
      <c r="I654" s="14"/>
      <c r="J654" s="13"/>
      <c r="K654" s="11"/>
      <c r="L654" s="2"/>
      <c r="M654" s="154"/>
      <c r="N654" s="154"/>
    </row>
    <row r="655" spans="2:14" x14ac:dyDescent="0.3">
      <c r="B655" s="155" t="s">
        <v>507</v>
      </c>
      <c r="C655" s="155"/>
      <c r="D655" s="155"/>
      <c r="E655" s="155"/>
      <c r="F655" s="155"/>
      <c r="G655" s="155"/>
      <c r="H655" s="155"/>
      <c r="I655" s="155"/>
      <c r="J655" s="155"/>
      <c r="K655" s="77">
        <v>313500</v>
      </c>
      <c r="L655" s="29">
        <v>0</v>
      </c>
      <c r="M655" s="151">
        <f>K655</f>
        <v>313500</v>
      </c>
      <c r="N655" s="151"/>
    </row>
    <row r="656" spans="2:14" x14ac:dyDescent="0.3">
      <c r="B656" s="17"/>
      <c r="J656" s="2"/>
      <c r="K656" s="11"/>
      <c r="L656" s="2"/>
      <c r="M656" s="151"/>
      <c r="N656" s="151"/>
    </row>
    <row r="657" spans="2:14" x14ac:dyDescent="0.3">
      <c r="B657" s="17"/>
      <c r="D657" t="s">
        <v>21</v>
      </c>
      <c r="J657" s="2"/>
      <c r="K657" s="11"/>
      <c r="L657" s="2"/>
      <c r="M657" s="151"/>
      <c r="N657" s="151"/>
    </row>
    <row r="658" spans="2:14" x14ac:dyDescent="0.3">
      <c r="B658" s="17"/>
      <c r="J658" s="2"/>
      <c r="K658" s="11"/>
      <c r="L658" s="2"/>
      <c r="M658" s="151"/>
      <c r="N658" s="151"/>
    </row>
    <row r="659" spans="2:14" x14ac:dyDescent="0.3">
      <c r="B659" s="17"/>
      <c r="J659" s="2"/>
      <c r="K659" s="11"/>
      <c r="L659" s="2"/>
      <c r="M659" s="151"/>
      <c r="N659" s="151"/>
    </row>
    <row r="660" spans="2:14" x14ac:dyDescent="0.3">
      <c r="B660" s="17"/>
      <c r="J660" s="2"/>
      <c r="K660" s="11"/>
      <c r="L660" s="2"/>
      <c r="M660" s="152"/>
      <c r="N660" s="152"/>
    </row>
    <row r="661" spans="2:14" x14ac:dyDescent="0.3">
      <c r="B661" s="21"/>
      <c r="C661" s="4"/>
      <c r="D661" s="4"/>
      <c r="E661" s="4"/>
      <c r="F661" s="4"/>
      <c r="G661" s="4"/>
      <c r="H661" s="4"/>
      <c r="I661" s="156" t="s">
        <v>16</v>
      </c>
      <c r="J661" s="156"/>
      <c r="K661" s="10">
        <f>K655</f>
        <v>313500</v>
      </c>
      <c r="L661" s="30" t="s">
        <v>88</v>
      </c>
      <c r="M661" s="157">
        <f>M655</f>
        <v>313500</v>
      </c>
      <c r="N661" s="157"/>
    </row>
    <row r="662" spans="2:14" x14ac:dyDescent="0.3">
      <c r="B662" s="17"/>
      <c r="N662" s="18"/>
    </row>
    <row r="663" spans="2:14" x14ac:dyDescent="0.3">
      <c r="B663" s="15" t="s">
        <v>17</v>
      </c>
      <c r="C663" s="158" t="s">
        <v>508</v>
      </c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</row>
    <row r="664" spans="2:14" x14ac:dyDescent="0.3">
      <c r="B664" s="21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</row>
    <row r="665" spans="2:14" x14ac:dyDescent="0.3">
      <c r="B665" s="17"/>
      <c r="N665" s="18"/>
    </row>
    <row r="666" spans="2:14" x14ac:dyDescent="0.3">
      <c r="B666" s="17"/>
      <c r="N666" s="18"/>
    </row>
    <row r="667" spans="2:14" x14ac:dyDescent="0.3">
      <c r="B667" s="17"/>
      <c r="L667" s="78" t="s">
        <v>18</v>
      </c>
      <c r="N667" s="18"/>
    </row>
    <row r="668" spans="2:14" x14ac:dyDescent="0.3">
      <c r="B668" s="17"/>
      <c r="L668" s="78"/>
      <c r="N668" s="18"/>
    </row>
    <row r="669" spans="2:14" x14ac:dyDescent="0.3">
      <c r="B669" s="17"/>
      <c r="L669" s="78"/>
      <c r="N669" s="18"/>
    </row>
    <row r="670" spans="2:14" ht="15" thickBot="1" x14ac:dyDescent="0.35">
      <c r="B670" s="22"/>
      <c r="C670" s="23"/>
      <c r="D670" s="23"/>
      <c r="E670" s="23"/>
      <c r="F670" s="23"/>
      <c r="G670" s="23"/>
      <c r="H670" s="23"/>
      <c r="I670" s="23"/>
      <c r="J670" s="23"/>
      <c r="K670" s="23"/>
      <c r="L670" s="79" t="s">
        <v>19</v>
      </c>
      <c r="M670" s="23"/>
      <c r="N670" s="25"/>
    </row>
    <row r="675" spans="2:14" ht="15" thickBot="1" x14ac:dyDescent="0.35"/>
    <row r="676" spans="2:14" ht="23.4" x14ac:dyDescent="0.45">
      <c r="B676" s="104" t="s">
        <v>11</v>
      </c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6"/>
    </row>
    <row r="677" spans="2:14" x14ac:dyDescent="0.3">
      <c r="B677" s="107" t="s">
        <v>12</v>
      </c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9"/>
    </row>
    <row r="678" spans="2:14" ht="15.6" x14ac:dyDescent="0.3">
      <c r="B678" s="110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2"/>
    </row>
    <row r="679" spans="2:14" ht="15.6" x14ac:dyDescent="0.3">
      <c r="B679" s="113" t="s">
        <v>0</v>
      </c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5"/>
    </row>
    <row r="680" spans="2:14" x14ac:dyDescent="0.3">
      <c r="B680" s="15" t="s">
        <v>1</v>
      </c>
      <c r="C680" s="14"/>
      <c r="D680" s="14"/>
      <c r="E680" s="14"/>
      <c r="F680" s="14"/>
      <c r="G680" s="13"/>
      <c r="H680" s="12"/>
      <c r="I680" s="14"/>
      <c r="J680" s="14" t="s">
        <v>20</v>
      </c>
      <c r="K680" s="14" t="s">
        <v>533</v>
      </c>
      <c r="L680" s="14"/>
      <c r="M680" s="14"/>
      <c r="N680" s="16"/>
    </row>
    <row r="681" spans="2:14" x14ac:dyDescent="0.3">
      <c r="B681" s="17" t="s">
        <v>2</v>
      </c>
      <c r="G681" s="2"/>
      <c r="H681" s="1"/>
      <c r="J681" t="s">
        <v>13</v>
      </c>
      <c r="K681" t="s">
        <v>534</v>
      </c>
      <c r="N681" s="18"/>
    </row>
    <row r="682" spans="2:14" x14ac:dyDescent="0.3">
      <c r="B682" s="17" t="s">
        <v>23</v>
      </c>
      <c r="G682" s="2"/>
      <c r="H682" s="1"/>
      <c r="N682" s="18"/>
    </row>
    <row r="683" spans="2:14" x14ac:dyDescent="0.3">
      <c r="B683" s="17" t="s">
        <v>24</v>
      </c>
      <c r="G683" s="2"/>
      <c r="H683" s="1"/>
      <c r="N683" s="18"/>
    </row>
    <row r="684" spans="2:14" x14ac:dyDescent="0.3">
      <c r="B684" s="17" t="s">
        <v>3</v>
      </c>
      <c r="C684" t="s">
        <v>4</v>
      </c>
      <c r="G684" s="2"/>
      <c r="H684" s="1"/>
      <c r="N684" s="18"/>
    </row>
    <row r="685" spans="2:14" x14ac:dyDescent="0.3">
      <c r="B685" s="17" t="s">
        <v>5</v>
      </c>
      <c r="C685" s="4"/>
      <c r="D685" s="4"/>
      <c r="E685" s="4"/>
      <c r="F685" s="4"/>
      <c r="G685" s="5"/>
      <c r="H685" s="3"/>
      <c r="I685" s="4"/>
      <c r="J685" s="4"/>
      <c r="K685" s="4"/>
      <c r="L685" s="4"/>
      <c r="M685" s="4"/>
      <c r="N685" s="19"/>
    </row>
    <row r="686" spans="2:14" x14ac:dyDescent="0.3">
      <c r="B686" s="116" t="s">
        <v>6</v>
      </c>
      <c r="C686" s="117"/>
      <c r="D686" s="117"/>
      <c r="E686" s="117"/>
      <c r="F686" s="117"/>
      <c r="G686" s="117"/>
      <c r="H686" s="117"/>
      <c r="I686" s="117"/>
      <c r="J686" s="164"/>
      <c r="K686" s="73" t="s">
        <v>8</v>
      </c>
      <c r="L686" s="74" t="s">
        <v>9</v>
      </c>
      <c r="M686" s="75" t="s">
        <v>10</v>
      </c>
      <c r="N686" s="76"/>
    </row>
    <row r="687" spans="2:14" x14ac:dyDescent="0.3">
      <c r="B687" s="15"/>
      <c r="C687" s="14"/>
      <c r="D687" s="14"/>
      <c r="E687" s="14"/>
      <c r="F687" s="14"/>
      <c r="G687" s="14"/>
      <c r="H687" s="14"/>
      <c r="I687" s="14"/>
      <c r="J687" s="13"/>
      <c r="K687" s="11"/>
      <c r="L687" s="2"/>
      <c r="M687" s="121"/>
      <c r="N687" s="122"/>
    </row>
    <row r="688" spans="2:14" x14ac:dyDescent="0.3">
      <c r="B688" s="118" t="s">
        <v>507</v>
      </c>
      <c r="C688" s="119"/>
      <c r="D688" s="119"/>
      <c r="E688" s="119"/>
      <c r="F688" s="119"/>
      <c r="G688" s="119"/>
      <c r="H688" s="119"/>
      <c r="I688" s="119"/>
      <c r="J688" s="123"/>
      <c r="K688" s="77">
        <v>321100</v>
      </c>
      <c r="L688" s="29">
        <v>0</v>
      </c>
      <c r="M688" s="124">
        <f>K688</f>
        <v>321100</v>
      </c>
      <c r="N688" s="125"/>
    </row>
    <row r="689" spans="2:14" x14ac:dyDescent="0.3">
      <c r="B689" s="17"/>
      <c r="J689" s="2"/>
      <c r="K689" s="11"/>
      <c r="L689" s="2"/>
      <c r="M689" s="124"/>
      <c r="N689" s="125"/>
    </row>
    <row r="690" spans="2:14" x14ac:dyDescent="0.3">
      <c r="B690" s="17"/>
      <c r="D690" t="s">
        <v>21</v>
      </c>
      <c r="J690" s="2"/>
      <c r="K690" s="11"/>
      <c r="L690" s="2"/>
      <c r="M690" s="124"/>
      <c r="N690" s="125"/>
    </row>
    <row r="691" spans="2:14" x14ac:dyDescent="0.3">
      <c r="B691" s="17"/>
      <c r="J691" s="2"/>
      <c r="K691" s="11"/>
      <c r="L691" s="2"/>
      <c r="M691" s="124"/>
      <c r="N691" s="125"/>
    </row>
    <row r="692" spans="2:14" x14ac:dyDescent="0.3">
      <c r="B692" s="17"/>
      <c r="J692" s="2"/>
      <c r="K692" s="11"/>
      <c r="L692" s="2"/>
      <c r="M692" s="124"/>
      <c r="N692" s="125"/>
    </row>
    <row r="693" spans="2:14" x14ac:dyDescent="0.3">
      <c r="B693" s="17"/>
      <c r="J693" s="2"/>
      <c r="K693" s="11"/>
      <c r="L693" s="2"/>
      <c r="M693" s="126"/>
      <c r="N693" s="127"/>
    </row>
    <row r="694" spans="2:14" x14ac:dyDescent="0.3">
      <c r="B694" s="21"/>
      <c r="C694" s="4"/>
      <c r="D694" s="4"/>
      <c r="E694" s="4"/>
      <c r="F694" s="4"/>
      <c r="G694" s="4"/>
      <c r="H694" s="4"/>
      <c r="I694" s="163" t="s">
        <v>16</v>
      </c>
      <c r="J694" s="164"/>
      <c r="K694" s="10">
        <f>K688</f>
        <v>321100</v>
      </c>
      <c r="L694" s="30" t="s">
        <v>88</v>
      </c>
      <c r="M694" s="163">
        <f>M688</f>
        <v>321100</v>
      </c>
      <c r="N694" s="165"/>
    </row>
    <row r="695" spans="2:14" x14ac:dyDescent="0.3">
      <c r="B695" s="17"/>
      <c r="N695" s="18"/>
    </row>
    <row r="696" spans="2:14" ht="14.25" customHeight="1" x14ac:dyDescent="0.3">
      <c r="B696" s="15" t="s">
        <v>17</v>
      </c>
      <c r="C696" s="166" t="s">
        <v>508</v>
      </c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7"/>
    </row>
    <row r="697" spans="2:14" x14ac:dyDescent="0.3">
      <c r="B697" s="21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9"/>
    </row>
    <row r="698" spans="2:14" x14ac:dyDescent="0.3">
      <c r="B698" s="17"/>
      <c r="N698" s="18"/>
    </row>
    <row r="699" spans="2:14" x14ac:dyDescent="0.3">
      <c r="B699" s="17"/>
      <c r="N699" s="18"/>
    </row>
    <row r="700" spans="2:14" x14ac:dyDescent="0.3">
      <c r="B700" s="17"/>
      <c r="L700" s="78" t="s">
        <v>18</v>
      </c>
      <c r="N700" s="18"/>
    </row>
    <row r="701" spans="2:14" x14ac:dyDescent="0.3">
      <c r="B701" s="17"/>
      <c r="L701" s="78"/>
      <c r="N701" s="18"/>
    </row>
    <row r="702" spans="2:14" x14ac:dyDescent="0.3">
      <c r="B702" s="17"/>
      <c r="L702" s="78"/>
      <c r="N702" s="18"/>
    </row>
    <row r="703" spans="2:14" ht="15" thickBot="1" x14ac:dyDescent="0.35">
      <c r="B703" s="22"/>
      <c r="C703" s="23"/>
      <c r="D703" s="23"/>
      <c r="E703" s="23"/>
      <c r="F703" s="23"/>
      <c r="G703" s="23"/>
      <c r="H703" s="23"/>
      <c r="I703" s="23"/>
      <c r="J703" s="23"/>
      <c r="K703" s="23"/>
      <c r="L703" s="79" t="s">
        <v>19</v>
      </c>
      <c r="M703" s="23"/>
      <c r="N703" s="25"/>
    </row>
    <row r="708" spans="2:14" ht="15" thickBot="1" x14ac:dyDescent="0.35"/>
    <row r="709" spans="2:14" ht="23.4" x14ac:dyDescent="0.45">
      <c r="B709" s="104" t="s">
        <v>11</v>
      </c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6"/>
    </row>
    <row r="710" spans="2:14" x14ac:dyDescent="0.3">
      <c r="B710" s="107" t="s">
        <v>12</v>
      </c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9"/>
    </row>
    <row r="711" spans="2:14" ht="15.6" x14ac:dyDescent="0.3">
      <c r="B711" s="110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2"/>
    </row>
    <row r="712" spans="2:14" ht="15.6" x14ac:dyDescent="0.3">
      <c r="B712" s="113" t="s">
        <v>0</v>
      </c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5"/>
    </row>
    <row r="713" spans="2:14" x14ac:dyDescent="0.3">
      <c r="B713" s="15" t="s">
        <v>1</v>
      </c>
      <c r="C713" s="14"/>
      <c r="D713" s="14"/>
      <c r="E713" s="14"/>
      <c r="F713" s="14"/>
      <c r="G713" s="13"/>
      <c r="H713" s="12"/>
      <c r="I713" s="14"/>
      <c r="J713" s="14" t="s">
        <v>20</v>
      </c>
      <c r="K713" s="14" t="s">
        <v>548</v>
      </c>
      <c r="L713" s="14"/>
      <c r="M713" s="14"/>
      <c r="N713" s="16"/>
    </row>
    <row r="714" spans="2:14" x14ac:dyDescent="0.3">
      <c r="B714" s="17" t="s">
        <v>2</v>
      </c>
      <c r="G714" s="2"/>
      <c r="H714" s="1"/>
      <c r="J714" t="s">
        <v>13</v>
      </c>
      <c r="K714" t="s">
        <v>549</v>
      </c>
      <c r="N714" s="18"/>
    </row>
    <row r="715" spans="2:14" x14ac:dyDescent="0.3">
      <c r="B715" s="17" t="s">
        <v>23</v>
      </c>
      <c r="G715" s="2"/>
      <c r="H715" s="1"/>
      <c r="N715" s="18"/>
    </row>
    <row r="716" spans="2:14" x14ac:dyDescent="0.3">
      <c r="B716" s="17" t="s">
        <v>24</v>
      </c>
      <c r="G716" s="2"/>
      <c r="H716" s="1"/>
      <c r="N716" s="18"/>
    </row>
    <row r="717" spans="2:14" x14ac:dyDescent="0.3">
      <c r="B717" s="17" t="s">
        <v>3</v>
      </c>
      <c r="C717" t="s">
        <v>4</v>
      </c>
      <c r="G717" s="2"/>
      <c r="H717" s="1"/>
      <c r="N717" s="18"/>
    </row>
    <row r="718" spans="2:14" x14ac:dyDescent="0.3">
      <c r="B718" s="17" t="s">
        <v>5</v>
      </c>
      <c r="C718" s="4"/>
      <c r="D718" s="4"/>
      <c r="E718" s="4"/>
      <c r="F718" s="4"/>
      <c r="G718" s="5"/>
      <c r="H718" s="3"/>
      <c r="I718" s="4"/>
      <c r="J718" s="4"/>
      <c r="K718" s="4"/>
      <c r="L718" s="4"/>
      <c r="M718" s="4"/>
      <c r="N718" s="19"/>
    </row>
    <row r="719" spans="2:14" x14ac:dyDescent="0.3">
      <c r="B719" s="116" t="s">
        <v>6</v>
      </c>
      <c r="C719" s="117"/>
      <c r="D719" s="117"/>
      <c r="E719" s="117"/>
      <c r="F719" s="117"/>
      <c r="G719" s="117"/>
      <c r="H719" s="117"/>
      <c r="I719" s="117"/>
      <c r="J719" s="164"/>
      <c r="K719" s="73" t="s">
        <v>8</v>
      </c>
      <c r="L719" s="74" t="s">
        <v>9</v>
      </c>
      <c r="M719" s="75" t="s">
        <v>10</v>
      </c>
      <c r="N719" s="76"/>
    </row>
    <row r="720" spans="2:14" x14ac:dyDescent="0.3">
      <c r="B720" s="15"/>
      <c r="C720" s="14"/>
      <c r="D720" s="14"/>
      <c r="E720" s="14"/>
      <c r="F720" s="14"/>
      <c r="G720" s="14"/>
      <c r="H720" s="14"/>
      <c r="I720" s="14"/>
      <c r="J720" s="13"/>
      <c r="K720" s="11"/>
      <c r="L720" s="2"/>
      <c r="M720" s="121"/>
      <c r="N720" s="122"/>
    </row>
    <row r="721" spans="2:14" x14ac:dyDescent="0.3">
      <c r="B721" s="118" t="s">
        <v>550</v>
      </c>
      <c r="C721" s="119"/>
      <c r="D721" s="119"/>
      <c r="E721" s="119"/>
      <c r="F721" s="119"/>
      <c r="G721" s="119"/>
      <c r="H721" s="119"/>
      <c r="I721" s="119"/>
      <c r="J721" s="123"/>
      <c r="K721" s="77">
        <v>262370</v>
      </c>
      <c r="L721" s="29">
        <v>0</v>
      </c>
      <c r="M721" s="124">
        <f>K721</f>
        <v>262370</v>
      </c>
      <c r="N721" s="125"/>
    </row>
    <row r="722" spans="2:14" x14ac:dyDescent="0.3">
      <c r="B722" s="17"/>
      <c r="J722" s="2"/>
      <c r="K722" s="11"/>
      <c r="L722" s="2"/>
      <c r="M722" s="124"/>
      <c r="N722" s="125"/>
    </row>
    <row r="723" spans="2:14" x14ac:dyDescent="0.3">
      <c r="B723" s="17"/>
      <c r="D723" t="s">
        <v>21</v>
      </c>
      <c r="J723" s="2"/>
      <c r="K723" s="11"/>
      <c r="L723" s="2"/>
      <c r="M723" s="124"/>
      <c r="N723" s="125"/>
    </row>
    <row r="724" spans="2:14" x14ac:dyDescent="0.3">
      <c r="B724" s="17"/>
      <c r="J724" s="2"/>
      <c r="K724" s="11"/>
      <c r="L724" s="2"/>
      <c r="M724" s="124"/>
      <c r="N724" s="125"/>
    </row>
    <row r="725" spans="2:14" x14ac:dyDescent="0.3">
      <c r="B725" s="17"/>
      <c r="J725" s="2"/>
      <c r="K725" s="11"/>
      <c r="L725" s="2"/>
      <c r="M725" s="124"/>
      <c r="N725" s="125"/>
    </row>
    <row r="726" spans="2:14" x14ac:dyDescent="0.3">
      <c r="B726" s="17"/>
      <c r="J726" s="2"/>
      <c r="K726" s="11"/>
      <c r="L726" s="2"/>
      <c r="M726" s="126"/>
      <c r="N726" s="127"/>
    </row>
    <row r="727" spans="2:14" x14ac:dyDescent="0.3">
      <c r="B727" s="21"/>
      <c r="C727" s="4"/>
      <c r="D727" s="4"/>
      <c r="E727" s="4"/>
      <c r="F727" s="4"/>
      <c r="G727" s="4"/>
      <c r="H727" s="4"/>
      <c r="I727" s="163" t="s">
        <v>16</v>
      </c>
      <c r="J727" s="164"/>
      <c r="K727" s="10">
        <f>K721</f>
        <v>262370</v>
      </c>
      <c r="L727" s="30" t="s">
        <v>88</v>
      </c>
      <c r="M727" s="163">
        <f>M721</f>
        <v>262370</v>
      </c>
      <c r="N727" s="165"/>
    </row>
    <row r="728" spans="2:14" x14ac:dyDescent="0.3">
      <c r="B728" s="17"/>
      <c r="N728" s="18"/>
    </row>
    <row r="729" spans="2:14" x14ac:dyDescent="0.3">
      <c r="B729" s="15" t="s">
        <v>17</v>
      </c>
      <c r="C729" s="166" t="s">
        <v>508</v>
      </c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7"/>
    </row>
    <row r="730" spans="2:14" x14ac:dyDescent="0.3">
      <c r="B730" s="21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9"/>
    </row>
    <row r="731" spans="2:14" x14ac:dyDescent="0.3">
      <c r="B731" s="17"/>
      <c r="N731" s="18"/>
    </row>
    <row r="732" spans="2:14" x14ac:dyDescent="0.3">
      <c r="B732" s="17"/>
      <c r="N732" s="18"/>
    </row>
    <row r="733" spans="2:14" x14ac:dyDescent="0.3">
      <c r="B733" s="17"/>
      <c r="L733" s="78" t="s">
        <v>18</v>
      </c>
      <c r="N733" s="18"/>
    </row>
    <row r="734" spans="2:14" x14ac:dyDescent="0.3">
      <c r="B734" s="17"/>
      <c r="L734" s="78"/>
      <c r="N734" s="18"/>
    </row>
    <row r="735" spans="2:14" x14ac:dyDescent="0.3">
      <c r="B735" s="17"/>
      <c r="L735" s="78"/>
      <c r="N735" s="18"/>
    </row>
    <row r="736" spans="2:14" ht="15" thickBot="1" x14ac:dyDescent="0.35">
      <c r="B736" s="22"/>
      <c r="C736" s="23"/>
      <c r="D736" s="23"/>
      <c r="E736" s="23"/>
      <c r="F736" s="23"/>
      <c r="G736" s="23"/>
      <c r="H736" s="23"/>
      <c r="I736" s="23"/>
      <c r="J736" s="23"/>
      <c r="K736" s="23"/>
      <c r="L736" s="79" t="s">
        <v>19</v>
      </c>
      <c r="M736" s="23"/>
      <c r="N736" s="25"/>
    </row>
    <row r="742" spans="2:14" ht="15" thickBot="1" x14ac:dyDescent="0.35"/>
    <row r="743" spans="2:14" ht="23.4" x14ac:dyDescent="0.45">
      <c r="B743" s="104" t="s">
        <v>11</v>
      </c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6"/>
    </row>
    <row r="744" spans="2:14" x14ac:dyDescent="0.3">
      <c r="B744" s="107" t="s">
        <v>12</v>
      </c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9"/>
    </row>
    <row r="745" spans="2:14" ht="15.6" x14ac:dyDescent="0.3">
      <c r="B745" s="110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2"/>
    </row>
    <row r="746" spans="2:14" ht="15.6" x14ac:dyDescent="0.3">
      <c r="B746" s="113" t="s">
        <v>0</v>
      </c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5"/>
    </row>
    <row r="747" spans="2:14" x14ac:dyDescent="0.3">
      <c r="B747" s="15" t="s">
        <v>1</v>
      </c>
      <c r="C747" s="14"/>
      <c r="D747" s="14"/>
      <c r="E747" s="14"/>
      <c r="F747" s="14"/>
      <c r="G747" s="13"/>
      <c r="H747" s="12"/>
      <c r="I747" s="14"/>
      <c r="J747" s="14" t="s">
        <v>20</v>
      </c>
      <c r="K747" s="14" t="s">
        <v>564</v>
      </c>
      <c r="L747" s="14"/>
      <c r="M747" s="14"/>
      <c r="N747" s="16"/>
    </row>
    <row r="748" spans="2:14" x14ac:dyDescent="0.3">
      <c r="B748" s="17" t="s">
        <v>2</v>
      </c>
      <c r="G748" s="2"/>
      <c r="H748" s="1"/>
      <c r="J748" t="s">
        <v>13</v>
      </c>
      <c r="K748" t="s">
        <v>563</v>
      </c>
      <c r="N748" s="18"/>
    </row>
    <row r="749" spans="2:14" x14ac:dyDescent="0.3">
      <c r="B749" s="17" t="s">
        <v>23</v>
      </c>
      <c r="G749" s="2"/>
      <c r="H749" s="1"/>
      <c r="N749" s="18"/>
    </row>
    <row r="750" spans="2:14" x14ac:dyDescent="0.3">
      <c r="B750" s="17" t="s">
        <v>24</v>
      </c>
      <c r="G750" s="2"/>
      <c r="H750" s="1"/>
      <c r="N750" s="18"/>
    </row>
    <row r="751" spans="2:14" x14ac:dyDescent="0.3">
      <c r="B751" s="17" t="s">
        <v>3</v>
      </c>
      <c r="C751" t="s">
        <v>4</v>
      </c>
      <c r="G751" s="2"/>
      <c r="H751" s="1"/>
      <c r="N751" s="18"/>
    </row>
    <row r="752" spans="2:14" x14ac:dyDescent="0.3">
      <c r="B752" s="17" t="s">
        <v>5</v>
      </c>
      <c r="C752" s="4"/>
      <c r="D752" s="4"/>
      <c r="E752" s="4"/>
      <c r="F752" s="4"/>
      <c r="G752" s="5"/>
      <c r="H752" s="3"/>
      <c r="I752" s="4"/>
      <c r="J752" s="4"/>
      <c r="K752" s="4"/>
      <c r="L752" s="4"/>
      <c r="M752" s="4"/>
      <c r="N752" s="19"/>
    </row>
    <row r="753" spans="2:14" x14ac:dyDescent="0.3">
      <c r="B753" s="116" t="s">
        <v>6</v>
      </c>
      <c r="C753" s="117"/>
      <c r="D753" s="117"/>
      <c r="E753" s="117"/>
      <c r="F753" s="117"/>
      <c r="G753" s="117"/>
      <c r="H753" s="117"/>
      <c r="I753" s="117"/>
      <c r="J753" s="164"/>
      <c r="K753" s="73" t="s">
        <v>8</v>
      </c>
      <c r="L753" s="74" t="s">
        <v>9</v>
      </c>
      <c r="M753" s="75" t="s">
        <v>10</v>
      </c>
      <c r="N753" s="76"/>
    </row>
    <row r="754" spans="2:14" x14ac:dyDescent="0.3">
      <c r="B754" s="15"/>
      <c r="C754" s="14"/>
      <c r="D754" s="14"/>
      <c r="E754" s="14"/>
      <c r="F754" s="14"/>
      <c r="G754" s="14"/>
      <c r="H754" s="14"/>
      <c r="I754" s="14"/>
      <c r="J754" s="13"/>
      <c r="K754" s="11"/>
      <c r="L754" s="2"/>
      <c r="M754" s="121"/>
      <c r="N754" s="122"/>
    </row>
    <row r="755" spans="2:14" x14ac:dyDescent="0.3">
      <c r="B755" s="118" t="s">
        <v>565</v>
      </c>
      <c r="C755" s="119"/>
      <c r="D755" s="119"/>
      <c r="E755" s="119"/>
      <c r="F755" s="119"/>
      <c r="G755" s="119"/>
      <c r="H755" s="119"/>
      <c r="I755" s="119"/>
      <c r="J755" s="123"/>
      <c r="K755" s="77">
        <v>305635</v>
      </c>
      <c r="L755" s="29">
        <v>0</v>
      </c>
      <c r="M755" s="124">
        <f>K755</f>
        <v>305635</v>
      </c>
      <c r="N755" s="125"/>
    </row>
    <row r="756" spans="2:14" x14ac:dyDescent="0.3">
      <c r="B756" s="17"/>
      <c r="J756" s="2"/>
      <c r="K756" s="11"/>
      <c r="L756" s="2"/>
      <c r="M756" s="124"/>
      <c r="N756" s="125"/>
    </row>
    <row r="757" spans="2:14" x14ac:dyDescent="0.3">
      <c r="B757" s="17"/>
      <c r="D757" t="s">
        <v>21</v>
      </c>
      <c r="J757" s="2"/>
      <c r="K757" s="11"/>
      <c r="L757" s="2"/>
      <c r="M757" s="124"/>
      <c r="N757" s="125"/>
    </row>
    <row r="758" spans="2:14" x14ac:dyDescent="0.3">
      <c r="B758" s="17"/>
      <c r="J758" s="2"/>
      <c r="K758" s="11"/>
      <c r="L758" s="2"/>
      <c r="M758" s="124"/>
      <c r="N758" s="125"/>
    </row>
    <row r="759" spans="2:14" x14ac:dyDescent="0.3">
      <c r="B759" s="17"/>
      <c r="J759" s="2"/>
      <c r="K759" s="11"/>
      <c r="L759" s="2"/>
      <c r="M759" s="124"/>
      <c r="N759" s="125"/>
    </row>
    <row r="760" spans="2:14" x14ac:dyDescent="0.3">
      <c r="B760" s="17"/>
      <c r="J760" s="2"/>
      <c r="K760" s="11"/>
      <c r="L760" s="2"/>
      <c r="M760" s="126"/>
      <c r="N760" s="127"/>
    </row>
    <row r="761" spans="2:14" x14ac:dyDescent="0.3">
      <c r="B761" s="21"/>
      <c r="C761" s="4"/>
      <c r="D761" s="4"/>
      <c r="E761" s="4"/>
      <c r="F761" s="4"/>
      <c r="G761" s="4"/>
      <c r="H761" s="4"/>
      <c r="I761" s="163" t="s">
        <v>16</v>
      </c>
      <c r="J761" s="164"/>
      <c r="K761" s="10">
        <f>K755</f>
        <v>305635</v>
      </c>
      <c r="L761" s="30" t="s">
        <v>88</v>
      </c>
      <c r="M761" s="163">
        <f>M755</f>
        <v>305635</v>
      </c>
      <c r="N761" s="165"/>
    </row>
    <row r="762" spans="2:14" x14ac:dyDescent="0.3">
      <c r="B762" s="17"/>
      <c r="N762" s="18"/>
    </row>
    <row r="763" spans="2:14" ht="14.4" customHeight="1" x14ac:dyDescent="0.3">
      <c r="B763" s="15" t="s">
        <v>17</v>
      </c>
      <c r="C763" s="166" t="s">
        <v>508</v>
      </c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7"/>
    </row>
    <row r="764" spans="2:14" x14ac:dyDescent="0.3">
      <c r="B764" s="21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9"/>
    </row>
    <row r="765" spans="2:14" x14ac:dyDescent="0.3">
      <c r="B765" s="17"/>
      <c r="N765" s="18"/>
    </row>
    <row r="766" spans="2:14" x14ac:dyDescent="0.3">
      <c r="B766" s="17"/>
      <c r="N766" s="18"/>
    </row>
    <row r="767" spans="2:14" x14ac:dyDescent="0.3">
      <c r="B767" s="17"/>
      <c r="L767" s="78" t="s">
        <v>18</v>
      </c>
      <c r="N767" s="18"/>
    </row>
    <row r="768" spans="2:14" x14ac:dyDescent="0.3">
      <c r="B768" s="17"/>
      <c r="L768" s="78"/>
      <c r="N768" s="18"/>
    </row>
    <row r="769" spans="2:14" x14ac:dyDescent="0.3">
      <c r="B769" s="17"/>
      <c r="L769" s="78"/>
      <c r="N769" s="18"/>
    </row>
    <row r="770" spans="2:14" ht="15" thickBot="1" x14ac:dyDescent="0.35">
      <c r="B770" s="22"/>
      <c r="C770" s="23"/>
      <c r="D770" s="23"/>
      <c r="E770" s="23"/>
      <c r="F770" s="23"/>
      <c r="G770" s="23"/>
      <c r="H770" s="23"/>
      <c r="I770" s="23"/>
      <c r="J770" s="23"/>
      <c r="K770" s="23"/>
      <c r="L770" s="79" t="s">
        <v>19</v>
      </c>
      <c r="M770" s="23"/>
      <c r="N770" s="25"/>
    </row>
    <row r="781" spans="2:14" ht="15" thickBot="1" x14ac:dyDescent="0.35"/>
    <row r="782" spans="2:14" ht="23.4" x14ac:dyDescent="0.45">
      <c r="B782" s="104" t="s">
        <v>11</v>
      </c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6"/>
    </row>
    <row r="783" spans="2:14" x14ac:dyDescent="0.3">
      <c r="B783" s="107" t="s">
        <v>12</v>
      </c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9"/>
    </row>
    <row r="784" spans="2:14" ht="15.6" x14ac:dyDescent="0.3">
      <c r="B784" s="110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2"/>
    </row>
    <row r="785" spans="2:14" ht="15.6" x14ac:dyDescent="0.3">
      <c r="B785" s="113" t="s">
        <v>0</v>
      </c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5"/>
    </row>
    <row r="786" spans="2:14" x14ac:dyDescent="0.3">
      <c r="B786" s="15" t="s">
        <v>1</v>
      </c>
      <c r="C786" s="14"/>
      <c r="D786" s="14"/>
      <c r="E786" s="14"/>
      <c r="F786" s="14"/>
      <c r="G786" s="13"/>
      <c r="H786" s="12"/>
      <c r="I786" s="14"/>
      <c r="J786" s="14" t="s">
        <v>20</v>
      </c>
      <c r="K786" s="14" t="s">
        <v>613</v>
      </c>
      <c r="L786" s="14"/>
      <c r="M786" s="14"/>
      <c r="N786" s="16"/>
    </row>
    <row r="787" spans="2:14" x14ac:dyDescent="0.3">
      <c r="B787" s="17" t="s">
        <v>2</v>
      </c>
      <c r="G787" s="2"/>
      <c r="H787" s="1"/>
      <c r="J787" t="s">
        <v>13</v>
      </c>
      <c r="K787" t="s">
        <v>614</v>
      </c>
      <c r="N787" s="18"/>
    </row>
    <row r="788" spans="2:14" x14ac:dyDescent="0.3">
      <c r="B788" s="17" t="s">
        <v>23</v>
      </c>
      <c r="G788" s="2"/>
      <c r="H788" s="1"/>
      <c r="N788" s="18"/>
    </row>
    <row r="789" spans="2:14" x14ac:dyDescent="0.3">
      <c r="B789" s="17" t="s">
        <v>24</v>
      </c>
      <c r="G789" s="2"/>
      <c r="H789" s="1"/>
      <c r="N789" s="18"/>
    </row>
    <row r="790" spans="2:14" x14ac:dyDescent="0.3">
      <c r="B790" s="17" t="s">
        <v>3</v>
      </c>
      <c r="C790" t="s">
        <v>4</v>
      </c>
      <c r="G790" s="2"/>
      <c r="H790" s="1"/>
      <c r="N790" s="18"/>
    </row>
    <row r="791" spans="2:14" x14ac:dyDescent="0.3">
      <c r="B791" s="17" t="s">
        <v>5</v>
      </c>
      <c r="C791" s="4"/>
      <c r="D791" s="4"/>
      <c r="E791" s="4"/>
      <c r="F791" s="4"/>
      <c r="G791" s="5"/>
      <c r="H791" s="3"/>
      <c r="I791" s="4"/>
      <c r="J791" s="4"/>
      <c r="M791" s="4"/>
      <c r="N791" s="19"/>
    </row>
    <row r="792" spans="2:14" x14ac:dyDescent="0.3">
      <c r="B792" s="116" t="s">
        <v>6</v>
      </c>
      <c r="C792" s="117"/>
      <c r="D792" s="117"/>
      <c r="E792" s="117"/>
      <c r="F792" s="117"/>
      <c r="G792" s="117"/>
      <c r="H792" s="117"/>
      <c r="I792" s="117"/>
      <c r="J792" s="117"/>
      <c r="K792" s="92" t="s">
        <v>8</v>
      </c>
      <c r="L792" s="93"/>
      <c r="M792" s="74" t="s">
        <v>10</v>
      </c>
      <c r="N792" s="96"/>
    </row>
    <row r="793" spans="2:14" x14ac:dyDescent="0.3">
      <c r="B793" s="15"/>
      <c r="C793" s="14"/>
      <c r="D793" s="14"/>
      <c r="E793" s="14"/>
      <c r="F793" s="14"/>
      <c r="G793" s="14"/>
      <c r="H793" s="14"/>
      <c r="I793" s="14"/>
      <c r="J793" s="14"/>
      <c r="K793" s="1"/>
      <c r="L793" s="2"/>
      <c r="M793" s="35"/>
      <c r="N793" s="87"/>
    </row>
    <row r="794" spans="2:14" x14ac:dyDescent="0.3">
      <c r="B794" s="118" t="s">
        <v>617</v>
      </c>
      <c r="C794" s="119"/>
      <c r="D794" s="119"/>
      <c r="E794" s="119"/>
      <c r="F794" s="119"/>
      <c r="G794" s="119"/>
      <c r="H794" s="119"/>
      <c r="I794" s="119"/>
      <c r="J794" s="119"/>
      <c r="K794" s="91">
        <v>243800</v>
      </c>
      <c r="L794" s="2"/>
      <c r="M794" s="35">
        <f>K794</f>
        <v>243800</v>
      </c>
      <c r="N794" s="87"/>
    </row>
    <row r="795" spans="2:14" x14ac:dyDescent="0.3">
      <c r="B795" s="17"/>
      <c r="K795" s="1"/>
      <c r="L795" s="2"/>
      <c r="M795" s="35"/>
      <c r="N795" s="87"/>
    </row>
    <row r="796" spans="2:14" x14ac:dyDescent="0.3">
      <c r="B796" s="17"/>
      <c r="D796" t="s">
        <v>21</v>
      </c>
      <c r="K796" s="1"/>
      <c r="L796" s="2"/>
      <c r="M796" s="35"/>
      <c r="N796" s="87"/>
    </row>
    <row r="797" spans="2:14" ht="15" thickBot="1" x14ac:dyDescent="0.35">
      <c r="B797" s="17"/>
      <c r="K797" s="1"/>
      <c r="L797" s="2"/>
      <c r="M797" s="35"/>
      <c r="N797" s="87"/>
    </row>
    <row r="798" spans="2:14" ht="15" thickBot="1" x14ac:dyDescent="0.35">
      <c r="B798" s="89"/>
      <c r="C798" s="90"/>
      <c r="D798" s="90"/>
      <c r="E798" s="90"/>
      <c r="F798" s="90"/>
      <c r="G798" s="90"/>
      <c r="H798" s="90"/>
      <c r="I798" s="90" t="s">
        <v>615</v>
      </c>
      <c r="J798" s="90"/>
      <c r="K798" s="101"/>
      <c r="L798" s="120"/>
      <c r="M798" s="102">
        <f>9% * M794</f>
        <v>21942</v>
      </c>
      <c r="N798" s="103"/>
    </row>
    <row r="799" spans="2:14" ht="15" thickBot="1" x14ac:dyDescent="0.35">
      <c r="B799" s="89"/>
      <c r="C799" s="90"/>
      <c r="D799" s="90"/>
      <c r="E799" s="90"/>
      <c r="F799" s="90"/>
      <c r="G799" s="90"/>
      <c r="H799" s="90"/>
      <c r="I799" s="90" t="s">
        <v>616</v>
      </c>
      <c r="J799" s="90"/>
      <c r="K799" s="101"/>
      <c r="L799" s="120"/>
      <c r="M799" s="102">
        <f>9% * M794</f>
        <v>21942</v>
      </c>
      <c r="N799" s="103"/>
    </row>
    <row r="800" spans="2:14" ht="15" thickBot="1" x14ac:dyDescent="0.35">
      <c r="B800" s="89"/>
      <c r="C800" s="90"/>
      <c r="D800" s="90"/>
      <c r="E800" s="90"/>
      <c r="F800" s="90"/>
      <c r="G800" s="90"/>
      <c r="H800" s="90"/>
      <c r="I800" s="101" t="s">
        <v>16</v>
      </c>
      <c r="J800" s="102"/>
      <c r="K800" s="94"/>
      <c r="L800" s="95"/>
      <c r="M800" s="102">
        <f>M794+M798+M799</f>
        <v>287684</v>
      </c>
      <c r="N800" s="103"/>
    </row>
    <row r="801" spans="2:14" x14ac:dyDescent="0.3">
      <c r="B801" s="17"/>
      <c r="N801" s="18"/>
    </row>
    <row r="802" spans="2:14" x14ac:dyDescent="0.3">
      <c r="B802" s="17"/>
      <c r="N802" s="18"/>
    </row>
    <row r="803" spans="2:14" x14ac:dyDescent="0.3">
      <c r="B803" s="17"/>
      <c r="N803" s="18"/>
    </row>
    <row r="804" spans="2:14" x14ac:dyDescent="0.3">
      <c r="B804" s="17"/>
      <c r="N804" s="18"/>
    </row>
    <row r="805" spans="2:14" x14ac:dyDescent="0.3">
      <c r="B805" s="17"/>
      <c r="L805" s="78" t="s">
        <v>18</v>
      </c>
      <c r="N805" s="18"/>
    </row>
    <row r="806" spans="2:14" x14ac:dyDescent="0.3">
      <c r="B806" s="17"/>
      <c r="L806" s="78"/>
      <c r="N806" s="18"/>
    </row>
    <row r="807" spans="2:14" x14ac:dyDescent="0.3">
      <c r="B807" s="17"/>
      <c r="L807" s="78"/>
      <c r="N807" s="18"/>
    </row>
    <row r="808" spans="2:14" ht="15" thickBot="1" x14ac:dyDescent="0.35">
      <c r="B808" s="22"/>
      <c r="C808" s="23"/>
      <c r="D808" s="23"/>
      <c r="E808" s="23"/>
      <c r="F808" s="23"/>
      <c r="G808" s="23"/>
      <c r="H808" s="23"/>
      <c r="I808" s="23"/>
      <c r="J808" s="23"/>
      <c r="K808" s="23"/>
      <c r="L808" s="79" t="s">
        <v>19</v>
      </c>
      <c r="M808" s="23"/>
      <c r="N808" s="25"/>
    </row>
    <row r="815" spans="2:14" ht="15" thickBot="1" x14ac:dyDescent="0.35"/>
    <row r="816" spans="2:14" ht="23.4" x14ac:dyDescent="0.45">
      <c r="B816" s="104" t="s">
        <v>11</v>
      </c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6"/>
    </row>
    <row r="817" spans="2:14" x14ac:dyDescent="0.3">
      <c r="B817" s="107" t="s">
        <v>12</v>
      </c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9"/>
    </row>
    <row r="818" spans="2:14" ht="15.6" x14ac:dyDescent="0.3">
      <c r="B818" s="110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2"/>
    </row>
    <row r="819" spans="2:14" ht="15.6" x14ac:dyDescent="0.3">
      <c r="B819" s="113" t="s">
        <v>0</v>
      </c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5"/>
    </row>
    <row r="820" spans="2:14" x14ac:dyDescent="0.3">
      <c r="B820" s="15" t="s">
        <v>1</v>
      </c>
      <c r="C820" s="14"/>
      <c r="D820" s="14"/>
      <c r="E820" s="14"/>
      <c r="F820" s="14"/>
      <c r="G820" s="13"/>
      <c r="H820" s="12"/>
      <c r="I820" s="14"/>
      <c r="J820" s="14" t="s">
        <v>20</v>
      </c>
      <c r="K820" s="14" t="s">
        <v>618</v>
      </c>
      <c r="L820" s="14"/>
      <c r="M820" s="14"/>
      <c r="N820" s="16"/>
    </row>
    <row r="821" spans="2:14" x14ac:dyDescent="0.3">
      <c r="B821" s="17" t="s">
        <v>2</v>
      </c>
      <c r="G821" s="2"/>
      <c r="H821" s="1"/>
      <c r="J821" t="s">
        <v>13</v>
      </c>
      <c r="K821" t="s">
        <v>422</v>
      </c>
      <c r="N821" s="18"/>
    </row>
    <row r="822" spans="2:14" x14ac:dyDescent="0.3">
      <c r="B822" s="17" t="s">
        <v>23</v>
      </c>
      <c r="G822" s="2"/>
      <c r="H822" s="1"/>
      <c r="N822" s="18"/>
    </row>
    <row r="823" spans="2:14" x14ac:dyDescent="0.3">
      <c r="B823" s="17" t="s">
        <v>24</v>
      </c>
      <c r="G823" s="2"/>
      <c r="H823" s="1"/>
      <c r="N823" s="18"/>
    </row>
    <row r="824" spans="2:14" x14ac:dyDescent="0.3">
      <c r="B824" s="17" t="s">
        <v>3</v>
      </c>
      <c r="C824" t="s">
        <v>4</v>
      </c>
      <c r="G824" s="2"/>
      <c r="H824" s="1"/>
      <c r="N824" s="18"/>
    </row>
    <row r="825" spans="2:14" x14ac:dyDescent="0.3">
      <c r="B825" s="17" t="s">
        <v>5</v>
      </c>
      <c r="C825" s="4"/>
      <c r="D825" s="4"/>
      <c r="E825" s="4"/>
      <c r="F825" s="4"/>
      <c r="G825" s="5"/>
      <c r="H825" s="3"/>
      <c r="I825" s="4"/>
      <c r="J825" s="4"/>
      <c r="M825" s="4"/>
      <c r="N825" s="19"/>
    </row>
    <row r="826" spans="2:14" x14ac:dyDescent="0.3">
      <c r="B826" s="116" t="s">
        <v>6</v>
      </c>
      <c r="C826" s="117"/>
      <c r="D826" s="117"/>
      <c r="E826" s="117"/>
      <c r="F826" s="117"/>
      <c r="G826" s="117"/>
      <c r="H826" s="117"/>
      <c r="I826" s="117"/>
      <c r="J826" s="117"/>
      <c r="K826" s="92" t="s">
        <v>8</v>
      </c>
      <c r="L826" s="93"/>
      <c r="M826" s="74" t="s">
        <v>10</v>
      </c>
      <c r="N826" s="96"/>
    </row>
    <row r="827" spans="2:14" x14ac:dyDescent="0.3">
      <c r="B827" s="15"/>
      <c r="C827" s="14"/>
      <c r="D827" s="14"/>
      <c r="E827" s="14"/>
      <c r="F827" s="14"/>
      <c r="G827" s="14"/>
      <c r="H827" s="14"/>
      <c r="I827" s="14"/>
      <c r="J827" s="14"/>
      <c r="K827" s="1"/>
      <c r="L827" s="2"/>
      <c r="M827" s="35"/>
      <c r="N827" s="87"/>
    </row>
    <row r="828" spans="2:14" x14ac:dyDescent="0.3">
      <c r="B828" s="118" t="s">
        <v>619</v>
      </c>
      <c r="C828" s="119"/>
      <c r="D828" s="119"/>
      <c r="E828" s="119"/>
      <c r="F828" s="119"/>
      <c r="G828" s="119"/>
      <c r="H828" s="119"/>
      <c r="I828" s="119"/>
      <c r="J828" s="119"/>
      <c r="K828" s="91">
        <v>561100</v>
      </c>
      <c r="L828" s="2"/>
      <c r="M828" s="35">
        <f>K828</f>
        <v>561100</v>
      </c>
      <c r="N828" s="87"/>
    </row>
    <row r="829" spans="2:14" x14ac:dyDescent="0.3">
      <c r="B829" s="17"/>
      <c r="K829" s="1"/>
      <c r="L829" s="2"/>
      <c r="M829" s="35"/>
      <c r="N829" s="87"/>
    </row>
    <row r="830" spans="2:14" x14ac:dyDescent="0.3">
      <c r="B830" s="17"/>
      <c r="D830" t="s">
        <v>21</v>
      </c>
      <c r="K830" s="1"/>
      <c r="L830" s="2"/>
      <c r="M830" s="35"/>
      <c r="N830" s="87"/>
    </row>
    <row r="831" spans="2:14" ht="15" thickBot="1" x14ac:dyDescent="0.35">
      <c r="B831" s="17"/>
      <c r="K831" s="1"/>
      <c r="L831" s="2"/>
      <c r="M831" s="35"/>
      <c r="N831" s="87"/>
    </row>
    <row r="832" spans="2:14" ht="15" thickBot="1" x14ac:dyDescent="0.35">
      <c r="B832" s="89"/>
      <c r="C832" s="90"/>
      <c r="D832" s="90"/>
      <c r="E832" s="90"/>
      <c r="F832" s="90"/>
      <c r="G832" s="90"/>
      <c r="H832" s="90"/>
      <c r="I832" s="90" t="s">
        <v>615</v>
      </c>
      <c r="J832" s="90"/>
      <c r="K832" s="101"/>
      <c r="L832" s="120"/>
      <c r="M832" s="102">
        <f>9% * M828</f>
        <v>50499</v>
      </c>
      <c r="N832" s="103"/>
    </row>
    <row r="833" spans="2:14" ht="15" thickBot="1" x14ac:dyDescent="0.35">
      <c r="B833" s="89"/>
      <c r="C833" s="90"/>
      <c r="D833" s="90"/>
      <c r="E833" s="90"/>
      <c r="F833" s="90"/>
      <c r="G833" s="90"/>
      <c r="H833" s="90"/>
      <c r="I833" s="90" t="s">
        <v>616</v>
      </c>
      <c r="J833" s="90"/>
      <c r="K833" s="101"/>
      <c r="L833" s="120"/>
      <c r="M833" s="102">
        <f>9% * M828</f>
        <v>50499</v>
      </c>
      <c r="N833" s="103"/>
    </row>
    <row r="834" spans="2:14" ht="15" thickBot="1" x14ac:dyDescent="0.35">
      <c r="B834" s="89"/>
      <c r="C834" s="90"/>
      <c r="D834" s="90"/>
      <c r="E834" s="90"/>
      <c r="F834" s="90"/>
      <c r="G834" s="90"/>
      <c r="H834" s="90"/>
      <c r="I834" s="101" t="s">
        <v>16</v>
      </c>
      <c r="J834" s="102"/>
      <c r="K834" s="94"/>
      <c r="L834" s="95"/>
      <c r="M834" s="102">
        <f>M828+M832+M833</f>
        <v>662098</v>
      </c>
      <c r="N834" s="103"/>
    </row>
    <row r="835" spans="2:14" x14ac:dyDescent="0.3">
      <c r="B835" s="17"/>
      <c r="N835" s="18"/>
    </row>
    <row r="836" spans="2:14" x14ac:dyDescent="0.3">
      <c r="B836" s="17"/>
      <c r="N836" s="18"/>
    </row>
    <row r="837" spans="2:14" x14ac:dyDescent="0.3">
      <c r="B837" s="17"/>
      <c r="N837" s="18"/>
    </row>
    <row r="838" spans="2:14" x14ac:dyDescent="0.3">
      <c r="B838" s="17"/>
      <c r="N838" s="18"/>
    </row>
    <row r="839" spans="2:14" x14ac:dyDescent="0.3">
      <c r="B839" s="17"/>
      <c r="L839" s="78" t="s">
        <v>18</v>
      </c>
      <c r="N839" s="18"/>
    </row>
    <row r="840" spans="2:14" x14ac:dyDescent="0.3">
      <c r="B840" s="17"/>
      <c r="L840" s="78"/>
      <c r="N840" s="18"/>
    </row>
    <row r="841" spans="2:14" x14ac:dyDescent="0.3">
      <c r="B841" s="17"/>
      <c r="L841" s="78"/>
      <c r="N841" s="18"/>
    </row>
    <row r="842" spans="2:14" ht="15" thickBot="1" x14ac:dyDescent="0.35">
      <c r="B842" s="22"/>
      <c r="C842" s="23"/>
      <c r="D842" s="23"/>
      <c r="E842" s="23"/>
      <c r="F842" s="23"/>
      <c r="G842" s="23"/>
      <c r="H842" s="23"/>
      <c r="I842" s="23"/>
      <c r="J842" s="23"/>
      <c r="K842" s="23"/>
      <c r="L842" s="79" t="s">
        <v>19</v>
      </c>
      <c r="M842" s="23"/>
      <c r="N842" s="25"/>
    </row>
    <row r="849" spans="2:14" ht="15" thickBot="1" x14ac:dyDescent="0.35"/>
    <row r="850" spans="2:14" ht="23.4" x14ac:dyDescent="0.45">
      <c r="B850" s="104" t="s">
        <v>11</v>
      </c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6"/>
    </row>
    <row r="851" spans="2:14" x14ac:dyDescent="0.3">
      <c r="B851" s="107" t="s">
        <v>12</v>
      </c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9"/>
    </row>
    <row r="852" spans="2:14" ht="15.6" x14ac:dyDescent="0.3">
      <c r="B852" s="110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2"/>
    </row>
    <row r="853" spans="2:14" ht="15.6" x14ac:dyDescent="0.3">
      <c r="B853" s="113" t="s">
        <v>0</v>
      </c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5"/>
    </row>
    <row r="854" spans="2:14" x14ac:dyDescent="0.3">
      <c r="B854" s="15" t="s">
        <v>1</v>
      </c>
      <c r="C854" s="14"/>
      <c r="D854" s="14"/>
      <c r="E854" s="14"/>
      <c r="F854" s="14"/>
      <c r="G854" s="13"/>
      <c r="H854" s="12"/>
      <c r="I854" s="14"/>
      <c r="J854" s="14" t="s">
        <v>20</v>
      </c>
      <c r="K854" s="14" t="s">
        <v>635</v>
      </c>
      <c r="L854" s="14"/>
      <c r="M854" s="14"/>
      <c r="N854" s="16"/>
    </row>
    <row r="855" spans="2:14" x14ac:dyDescent="0.3">
      <c r="B855" s="17" t="s">
        <v>2</v>
      </c>
      <c r="G855" s="2"/>
      <c r="H855" s="1"/>
      <c r="J855" t="s">
        <v>13</v>
      </c>
      <c r="K855" t="s">
        <v>636</v>
      </c>
      <c r="N855" s="18"/>
    </row>
    <row r="856" spans="2:14" x14ac:dyDescent="0.3">
      <c r="B856" s="17" t="s">
        <v>23</v>
      </c>
      <c r="G856" s="2"/>
      <c r="H856" s="1"/>
      <c r="N856" s="18"/>
    </row>
    <row r="857" spans="2:14" x14ac:dyDescent="0.3">
      <c r="B857" s="17" t="s">
        <v>24</v>
      </c>
      <c r="G857" s="2"/>
      <c r="H857" s="1"/>
      <c r="N857" s="18"/>
    </row>
    <row r="858" spans="2:14" x14ac:dyDescent="0.3">
      <c r="B858" s="17" t="s">
        <v>3</v>
      </c>
      <c r="C858" t="s">
        <v>4</v>
      </c>
      <c r="G858" s="2"/>
      <c r="H858" s="1"/>
      <c r="N858" s="18"/>
    </row>
    <row r="859" spans="2:14" x14ac:dyDescent="0.3">
      <c r="B859" s="17" t="s">
        <v>5</v>
      </c>
      <c r="C859" s="4"/>
      <c r="D859" s="4"/>
      <c r="E859" s="4"/>
      <c r="F859" s="4"/>
      <c r="G859" s="5"/>
      <c r="H859" s="3"/>
      <c r="I859" s="4"/>
      <c r="J859" s="4"/>
      <c r="M859" s="4"/>
      <c r="N859" s="19"/>
    </row>
    <row r="860" spans="2:14" x14ac:dyDescent="0.3">
      <c r="B860" s="116" t="s">
        <v>6</v>
      </c>
      <c r="C860" s="117"/>
      <c r="D860" s="117"/>
      <c r="E860" s="117"/>
      <c r="F860" s="117"/>
      <c r="G860" s="117"/>
      <c r="H860" s="117"/>
      <c r="I860" s="117"/>
      <c r="J860" s="117"/>
      <c r="K860" s="92" t="s">
        <v>8</v>
      </c>
      <c r="L860" s="93"/>
      <c r="M860" s="74" t="s">
        <v>10</v>
      </c>
      <c r="N860" s="96"/>
    </row>
    <row r="861" spans="2:14" x14ac:dyDescent="0.3">
      <c r="B861" s="15"/>
      <c r="C861" s="14"/>
      <c r="D861" s="14"/>
      <c r="E861" s="14"/>
      <c r="F861" s="14"/>
      <c r="G861" s="14"/>
      <c r="H861" s="14"/>
      <c r="I861" s="14"/>
      <c r="J861" s="14"/>
      <c r="K861" s="1"/>
      <c r="L861" s="2"/>
      <c r="M861" s="35"/>
      <c r="N861" s="87"/>
    </row>
    <row r="862" spans="2:14" x14ac:dyDescent="0.3">
      <c r="B862" s="118" t="s">
        <v>634</v>
      </c>
      <c r="C862" s="119"/>
      <c r="D862" s="119"/>
      <c r="E862" s="119"/>
      <c r="F862" s="119"/>
      <c r="G862" s="119"/>
      <c r="H862" s="119"/>
      <c r="I862" s="119"/>
      <c r="J862" s="119"/>
      <c r="K862" s="91">
        <v>273100</v>
      </c>
      <c r="L862" s="2"/>
      <c r="M862" s="35">
        <f>K862</f>
        <v>273100</v>
      </c>
      <c r="N862" s="87"/>
    </row>
    <row r="863" spans="2:14" x14ac:dyDescent="0.3">
      <c r="B863" s="17"/>
      <c r="K863" s="1"/>
      <c r="L863" s="2"/>
      <c r="M863" s="35"/>
      <c r="N863" s="87"/>
    </row>
    <row r="864" spans="2:14" x14ac:dyDescent="0.3">
      <c r="B864" s="17"/>
      <c r="D864" t="s">
        <v>21</v>
      </c>
      <c r="K864" s="1"/>
      <c r="L864" s="2"/>
      <c r="M864" s="35"/>
      <c r="N864" s="87"/>
    </row>
    <row r="865" spans="2:14" ht="15" thickBot="1" x14ac:dyDescent="0.35">
      <c r="B865" s="17"/>
      <c r="K865" s="1"/>
      <c r="L865" s="2"/>
      <c r="M865" s="35"/>
      <c r="N865" s="87"/>
    </row>
    <row r="866" spans="2:14" ht="15" thickBot="1" x14ac:dyDescent="0.35">
      <c r="B866" s="89"/>
      <c r="C866" s="90"/>
      <c r="D866" s="90"/>
      <c r="E866" s="90"/>
      <c r="F866" s="90"/>
      <c r="G866" s="90"/>
      <c r="H866" s="90"/>
      <c r="I866" s="90" t="s">
        <v>615</v>
      </c>
      <c r="J866" s="90"/>
      <c r="K866" s="101"/>
      <c r="L866" s="120"/>
      <c r="M866" s="102">
        <f>9% * M862</f>
        <v>24579</v>
      </c>
      <c r="N866" s="103"/>
    </row>
    <row r="867" spans="2:14" ht="15" thickBot="1" x14ac:dyDescent="0.35">
      <c r="B867" s="89"/>
      <c r="C867" s="90"/>
      <c r="D867" s="90"/>
      <c r="E867" s="90"/>
      <c r="F867" s="90"/>
      <c r="G867" s="90"/>
      <c r="H867" s="90"/>
      <c r="I867" s="90" t="s">
        <v>616</v>
      </c>
      <c r="J867" s="90"/>
      <c r="K867" s="101"/>
      <c r="L867" s="120"/>
      <c r="M867" s="102">
        <f>9% * M862</f>
        <v>24579</v>
      </c>
      <c r="N867" s="103"/>
    </row>
    <row r="868" spans="2:14" ht="15" thickBot="1" x14ac:dyDescent="0.35">
      <c r="B868" s="89"/>
      <c r="C868" s="90"/>
      <c r="D868" s="90"/>
      <c r="E868" s="90"/>
      <c r="F868" s="90"/>
      <c r="G868" s="90"/>
      <c r="H868" s="90"/>
      <c r="I868" s="101" t="s">
        <v>16</v>
      </c>
      <c r="J868" s="102"/>
      <c r="K868" s="94"/>
      <c r="L868" s="95"/>
      <c r="M868" s="102">
        <f>M862+M866+M867</f>
        <v>322258</v>
      </c>
      <c r="N868" s="103"/>
    </row>
    <row r="869" spans="2:14" x14ac:dyDescent="0.3">
      <c r="B869" s="17"/>
      <c r="N869" s="18"/>
    </row>
    <row r="870" spans="2:14" x14ac:dyDescent="0.3">
      <c r="B870" s="17"/>
      <c r="N870" s="18"/>
    </row>
    <row r="871" spans="2:14" x14ac:dyDescent="0.3">
      <c r="B871" s="17"/>
      <c r="N871" s="18"/>
    </row>
    <row r="872" spans="2:14" x14ac:dyDescent="0.3">
      <c r="B872" s="17"/>
      <c r="N872" s="18"/>
    </row>
    <row r="873" spans="2:14" x14ac:dyDescent="0.3">
      <c r="B873" s="17"/>
      <c r="L873" s="78" t="s">
        <v>18</v>
      </c>
      <c r="N873" s="18"/>
    </row>
    <row r="874" spans="2:14" x14ac:dyDescent="0.3">
      <c r="B874" s="17"/>
      <c r="L874" s="78"/>
      <c r="N874" s="18"/>
    </row>
    <row r="875" spans="2:14" x14ac:dyDescent="0.3">
      <c r="B875" s="17"/>
      <c r="L875" s="78"/>
      <c r="N875" s="18"/>
    </row>
    <row r="876" spans="2:14" ht="15" thickBot="1" x14ac:dyDescent="0.35">
      <c r="B876" s="22"/>
      <c r="C876" s="23"/>
      <c r="D876" s="23"/>
      <c r="E876" s="23"/>
      <c r="F876" s="23"/>
      <c r="G876" s="23"/>
      <c r="H876" s="23"/>
      <c r="I876" s="23"/>
      <c r="J876" s="23"/>
      <c r="K876" s="23"/>
      <c r="L876" s="79" t="s">
        <v>19</v>
      </c>
      <c r="M876" s="23"/>
      <c r="N876" s="25"/>
    </row>
    <row r="882" spans="2:14" ht="15" thickBot="1" x14ac:dyDescent="0.35"/>
    <row r="883" spans="2:14" ht="23.4" x14ac:dyDescent="0.45">
      <c r="B883" s="104" t="s">
        <v>11</v>
      </c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6"/>
    </row>
    <row r="884" spans="2:14" x14ac:dyDescent="0.3">
      <c r="B884" s="107" t="s">
        <v>12</v>
      </c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9"/>
    </row>
    <row r="885" spans="2:14" ht="15.6" x14ac:dyDescent="0.3">
      <c r="B885" s="110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2"/>
    </row>
    <row r="886" spans="2:14" ht="15.6" x14ac:dyDescent="0.3">
      <c r="B886" s="113" t="s">
        <v>0</v>
      </c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5"/>
    </row>
    <row r="887" spans="2:14" x14ac:dyDescent="0.3">
      <c r="B887" s="15" t="s">
        <v>1</v>
      </c>
      <c r="C887" s="14"/>
      <c r="D887" s="14"/>
      <c r="E887" s="14"/>
      <c r="F887" s="14"/>
      <c r="G887" s="13"/>
      <c r="H887" s="12"/>
      <c r="I887" s="14"/>
      <c r="J887" s="14" t="s">
        <v>20</v>
      </c>
      <c r="K887" s="14" t="s">
        <v>648</v>
      </c>
      <c r="L887" s="14"/>
      <c r="M887" s="14"/>
      <c r="N887" s="16"/>
    </row>
    <row r="888" spans="2:14" x14ac:dyDescent="0.3">
      <c r="B888" s="17" t="s">
        <v>2</v>
      </c>
      <c r="G888" s="2"/>
      <c r="H888" s="1"/>
      <c r="J888" t="s">
        <v>13</v>
      </c>
      <c r="K888" t="s">
        <v>653</v>
      </c>
      <c r="N888" s="18"/>
    </row>
    <row r="889" spans="2:14" x14ac:dyDescent="0.3">
      <c r="B889" s="17" t="s">
        <v>23</v>
      </c>
      <c r="G889" s="2"/>
      <c r="H889" s="1"/>
      <c r="N889" s="18"/>
    </row>
    <row r="890" spans="2:14" x14ac:dyDescent="0.3">
      <c r="B890" s="17" t="s">
        <v>24</v>
      </c>
      <c r="G890" s="2"/>
      <c r="H890" s="1"/>
      <c r="N890" s="18"/>
    </row>
    <row r="891" spans="2:14" x14ac:dyDescent="0.3">
      <c r="B891" s="17" t="s">
        <v>3</v>
      </c>
      <c r="C891" t="s">
        <v>4</v>
      </c>
      <c r="G891" s="2"/>
      <c r="H891" s="1"/>
      <c r="N891" s="18"/>
    </row>
    <row r="892" spans="2:14" x14ac:dyDescent="0.3">
      <c r="B892" s="17" t="s">
        <v>5</v>
      </c>
      <c r="C892" s="4"/>
      <c r="D892" s="4"/>
      <c r="E892" s="4"/>
      <c r="F892" s="4"/>
      <c r="G892" s="5"/>
      <c r="H892" s="3"/>
      <c r="I892" s="4"/>
      <c r="J892" s="4"/>
      <c r="M892" s="4"/>
      <c r="N892" s="19"/>
    </row>
    <row r="893" spans="2:14" x14ac:dyDescent="0.3">
      <c r="B893" s="116" t="s">
        <v>6</v>
      </c>
      <c r="C893" s="117"/>
      <c r="D893" s="117"/>
      <c r="E893" s="117"/>
      <c r="F893" s="117"/>
      <c r="G893" s="117"/>
      <c r="H893" s="117"/>
      <c r="I893" s="117"/>
      <c r="J893" s="117"/>
      <c r="K893" s="92" t="s">
        <v>8</v>
      </c>
      <c r="L893" s="93"/>
      <c r="M893" s="74" t="s">
        <v>10</v>
      </c>
      <c r="N893" s="96"/>
    </row>
    <row r="894" spans="2:14" x14ac:dyDescent="0.3">
      <c r="B894" s="15"/>
      <c r="C894" s="14"/>
      <c r="D894" s="14"/>
      <c r="E894" s="14"/>
      <c r="F894" s="14"/>
      <c r="G894" s="14"/>
      <c r="H894" s="14"/>
      <c r="I894" s="14"/>
      <c r="J894" s="14"/>
      <c r="K894" s="1"/>
      <c r="L894" s="2"/>
      <c r="M894" s="35"/>
      <c r="N894" s="87"/>
    </row>
    <row r="895" spans="2:14" x14ac:dyDescent="0.3">
      <c r="B895" s="118" t="s">
        <v>649</v>
      </c>
      <c r="C895" s="119"/>
      <c r="D895" s="119"/>
      <c r="E895" s="119"/>
      <c r="F895" s="119"/>
      <c r="G895" s="119"/>
      <c r="H895" s="119"/>
      <c r="I895" s="119"/>
      <c r="J895" s="119"/>
      <c r="K895" s="91">
        <v>297500</v>
      </c>
      <c r="L895" s="2"/>
      <c r="M895" s="35">
        <f>K895</f>
        <v>297500</v>
      </c>
      <c r="N895" s="87"/>
    </row>
    <row r="896" spans="2:14" x14ac:dyDescent="0.3">
      <c r="B896" s="17"/>
      <c r="K896" s="1"/>
      <c r="L896" s="2"/>
      <c r="M896" s="35"/>
      <c r="N896" s="87"/>
    </row>
    <row r="897" spans="2:14" x14ac:dyDescent="0.3">
      <c r="B897" s="17"/>
      <c r="D897" t="s">
        <v>21</v>
      </c>
      <c r="K897" s="1"/>
      <c r="L897" s="2"/>
      <c r="M897" s="35"/>
      <c r="N897" s="87"/>
    </row>
    <row r="898" spans="2:14" ht="15" thickBot="1" x14ac:dyDescent="0.35">
      <c r="B898" s="17"/>
      <c r="K898" s="1"/>
      <c r="L898" s="2"/>
      <c r="M898" s="35"/>
      <c r="N898" s="87"/>
    </row>
    <row r="899" spans="2:14" ht="15" thickBot="1" x14ac:dyDescent="0.35">
      <c r="B899" s="89"/>
      <c r="C899" s="90"/>
      <c r="D899" s="90"/>
      <c r="E899" s="90"/>
      <c r="F899" s="90"/>
      <c r="G899" s="90"/>
      <c r="H899" s="90"/>
      <c r="I899" s="90" t="s">
        <v>615</v>
      </c>
      <c r="J899" s="90"/>
      <c r="K899" s="101"/>
      <c r="L899" s="120"/>
      <c r="M899" s="102">
        <f>9% * M895</f>
        <v>26775</v>
      </c>
      <c r="N899" s="103"/>
    </row>
    <row r="900" spans="2:14" ht="15" thickBot="1" x14ac:dyDescent="0.35">
      <c r="B900" s="89"/>
      <c r="C900" s="90"/>
      <c r="D900" s="90"/>
      <c r="E900" s="90"/>
      <c r="F900" s="90"/>
      <c r="G900" s="90"/>
      <c r="H900" s="90"/>
      <c r="I900" s="90" t="s">
        <v>616</v>
      </c>
      <c r="J900" s="90"/>
      <c r="K900" s="101"/>
      <c r="L900" s="120"/>
      <c r="M900" s="102">
        <f>9% * M895</f>
        <v>26775</v>
      </c>
      <c r="N900" s="103"/>
    </row>
    <row r="901" spans="2:14" ht="15" thickBot="1" x14ac:dyDescent="0.35">
      <c r="B901" s="89"/>
      <c r="C901" s="90"/>
      <c r="D901" s="90"/>
      <c r="E901" s="90"/>
      <c r="F901" s="90"/>
      <c r="G901" s="90"/>
      <c r="H901" s="90"/>
      <c r="I901" s="101" t="s">
        <v>16</v>
      </c>
      <c r="J901" s="102"/>
      <c r="K901" s="94"/>
      <c r="L901" s="95"/>
      <c r="M901" s="102">
        <f>M895+M899+M900</f>
        <v>351050</v>
      </c>
      <c r="N901" s="103"/>
    </row>
    <row r="902" spans="2:14" x14ac:dyDescent="0.3">
      <c r="B902" s="17"/>
      <c r="N902" s="18"/>
    </row>
    <row r="903" spans="2:14" x14ac:dyDescent="0.3">
      <c r="B903" s="17"/>
      <c r="N903" s="18"/>
    </row>
    <row r="904" spans="2:14" x14ac:dyDescent="0.3">
      <c r="B904" s="17"/>
      <c r="N904" s="18"/>
    </row>
    <row r="905" spans="2:14" x14ac:dyDescent="0.3">
      <c r="B905" s="17"/>
      <c r="N905" s="18"/>
    </row>
    <row r="906" spans="2:14" x14ac:dyDescent="0.3">
      <c r="B906" s="17"/>
      <c r="L906" s="78" t="s">
        <v>18</v>
      </c>
      <c r="N906" s="18"/>
    </row>
    <row r="907" spans="2:14" x14ac:dyDescent="0.3">
      <c r="B907" s="17"/>
      <c r="L907" s="78"/>
      <c r="N907" s="18"/>
    </row>
    <row r="908" spans="2:14" x14ac:dyDescent="0.3">
      <c r="B908" s="17"/>
      <c r="L908" s="78"/>
      <c r="N908" s="18"/>
    </row>
    <row r="909" spans="2:14" ht="15" thickBot="1" x14ac:dyDescent="0.35">
      <c r="B909" s="22"/>
      <c r="C909" s="23"/>
      <c r="D909" s="23"/>
      <c r="E909" s="23"/>
      <c r="F909" s="23"/>
      <c r="G909" s="23"/>
      <c r="H909" s="23"/>
      <c r="I909" s="23"/>
      <c r="J909" s="23"/>
      <c r="K909" s="23"/>
      <c r="L909" s="79" t="s">
        <v>19</v>
      </c>
      <c r="M909" s="23"/>
      <c r="N909" s="25"/>
    </row>
    <row r="914" spans="2:14" ht="15" thickBot="1" x14ac:dyDescent="0.35"/>
    <row r="915" spans="2:14" ht="23.4" x14ac:dyDescent="0.45">
      <c r="B915" s="104" t="s">
        <v>11</v>
      </c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6"/>
    </row>
    <row r="916" spans="2:14" x14ac:dyDescent="0.3">
      <c r="B916" s="107" t="s">
        <v>12</v>
      </c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9"/>
    </row>
    <row r="917" spans="2:14" ht="15.6" x14ac:dyDescent="0.3">
      <c r="B917" s="110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2"/>
    </row>
    <row r="918" spans="2:14" ht="15.6" x14ac:dyDescent="0.3">
      <c r="B918" s="113" t="s">
        <v>0</v>
      </c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5"/>
    </row>
    <row r="919" spans="2:14" x14ac:dyDescent="0.3">
      <c r="B919" s="15" t="s">
        <v>1</v>
      </c>
      <c r="C919" s="14"/>
      <c r="D919" s="14"/>
      <c r="E919" s="14"/>
      <c r="F919" s="14"/>
      <c r="G919" s="13"/>
      <c r="H919" s="12"/>
      <c r="I919" s="14"/>
      <c r="J919" s="14" t="s">
        <v>20</v>
      </c>
      <c r="K919" s="14" t="s">
        <v>668</v>
      </c>
      <c r="L919" s="14"/>
      <c r="M919" s="14"/>
      <c r="N919" s="16"/>
    </row>
    <row r="920" spans="2:14" x14ac:dyDescent="0.3">
      <c r="B920" s="17" t="s">
        <v>2</v>
      </c>
      <c r="G920" s="2"/>
      <c r="H920" s="1"/>
      <c r="J920" t="s">
        <v>13</v>
      </c>
      <c r="K920" t="s">
        <v>670</v>
      </c>
      <c r="N920" s="18"/>
    </row>
    <row r="921" spans="2:14" x14ac:dyDescent="0.3">
      <c r="B921" s="17" t="s">
        <v>23</v>
      </c>
      <c r="G921" s="2"/>
      <c r="H921" s="1"/>
      <c r="N921" s="18"/>
    </row>
    <row r="922" spans="2:14" x14ac:dyDescent="0.3">
      <c r="B922" s="17" t="s">
        <v>24</v>
      </c>
      <c r="G922" s="2"/>
      <c r="H922" s="1"/>
      <c r="N922" s="18"/>
    </row>
    <row r="923" spans="2:14" x14ac:dyDescent="0.3">
      <c r="B923" s="17" t="s">
        <v>3</v>
      </c>
      <c r="C923" t="s">
        <v>4</v>
      </c>
      <c r="G923" s="2"/>
      <c r="H923" s="1"/>
      <c r="N923" s="18"/>
    </row>
    <row r="924" spans="2:14" x14ac:dyDescent="0.3">
      <c r="B924" s="17" t="s">
        <v>5</v>
      </c>
      <c r="C924" s="4"/>
      <c r="D924" s="4"/>
      <c r="E924" s="4"/>
      <c r="F924" s="4"/>
      <c r="G924" s="5"/>
      <c r="H924" s="3"/>
      <c r="I924" s="4"/>
      <c r="J924" s="4"/>
      <c r="M924" s="4"/>
      <c r="N924" s="19"/>
    </row>
    <row r="925" spans="2:14" x14ac:dyDescent="0.3">
      <c r="B925" s="116" t="s">
        <v>6</v>
      </c>
      <c r="C925" s="117"/>
      <c r="D925" s="117"/>
      <c r="E925" s="117"/>
      <c r="F925" s="117"/>
      <c r="G925" s="117"/>
      <c r="H925" s="117"/>
      <c r="I925" s="117"/>
      <c r="J925" s="117"/>
      <c r="K925" s="92" t="s">
        <v>8</v>
      </c>
      <c r="L925" s="93"/>
      <c r="M925" s="74" t="s">
        <v>10</v>
      </c>
      <c r="N925" s="96"/>
    </row>
    <row r="926" spans="2:14" x14ac:dyDescent="0.3">
      <c r="B926" s="15"/>
      <c r="C926" s="14"/>
      <c r="D926" s="14"/>
      <c r="E926" s="14"/>
      <c r="F926" s="14"/>
      <c r="G926" s="14"/>
      <c r="H926" s="14"/>
      <c r="I926" s="14"/>
      <c r="J926" s="14"/>
      <c r="K926" s="1"/>
      <c r="L926" s="2"/>
      <c r="M926" s="35"/>
      <c r="N926" s="87"/>
    </row>
    <row r="927" spans="2:14" x14ac:dyDescent="0.3">
      <c r="B927" s="118" t="s">
        <v>669</v>
      </c>
      <c r="C927" s="119"/>
      <c r="D927" s="119"/>
      <c r="E927" s="119"/>
      <c r="F927" s="119"/>
      <c r="G927" s="119"/>
      <c r="H927" s="119"/>
      <c r="I927" s="119"/>
      <c r="J927" s="119"/>
      <c r="K927" s="91">
        <v>187300</v>
      </c>
      <c r="L927" s="2"/>
      <c r="M927" s="35">
        <f>K927</f>
        <v>187300</v>
      </c>
      <c r="N927" s="87"/>
    </row>
    <row r="928" spans="2:14" x14ac:dyDescent="0.3">
      <c r="B928" s="17"/>
      <c r="K928" s="1"/>
      <c r="L928" s="2"/>
      <c r="M928" s="35"/>
      <c r="N928" s="87"/>
    </row>
    <row r="929" spans="2:14" x14ac:dyDescent="0.3">
      <c r="B929" s="17"/>
      <c r="D929" t="s">
        <v>21</v>
      </c>
      <c r="K929" s="1"/>
      <c r="L929" s="2"/>
      <c r="M929" s="35"/>
      <c r="N929" s="87"/>
    </row>
    <row r="930" spans="2:14" ht="15" thickBot="1" x14ac:dyDescent="0.35">
      <c r="B930" s="17"/>
      <c r="K930" s="1"/>
      <c r="L930" s="2"/>
      <c r="M930" s="35"/>
      <c r="N930" s="87"/>
    </row>
    <row r="931" spans="2:14" ht="15" thickBot="1" x14ac:dyDescent="0.35">
      <c r="B931" s="89"/>
      <c r="C931" s="90"/>
      <c r="D931" s="90"/>
      <c r="E931" s="90"/>
      <c r="F931" s="90"/>
      <c r="G931" s="90"/>
      <c r="H931" s="90"/>
      <c r="I931" s="90" t="s">
        <v>615</v>
      </c>
      <c r="J931" s="90"/>
      <c r="K931" s="101"/>
      <c r="L931" s="120"/>
      <c r="M931" s="102">
        <f>9% * M927</f>
        <v>16857</v>
      </c>
      <c r="N931" s="103"/>
    </row>
    <row r="932" spans="2:14" ht="15" thickBot="1" x14ac:dyDescent="0.35">
      <c r="B932" s="89"/>
      <c r="C932" s="90"/>
      <c r="D932" s="90"/>
      <c r="E932" s="90"/>
      <c r="F932" s="90"/>
      <c r="G932" s="90"/>
      <c r="H932" s="90"/>
      <c r="I932" s="90" t="s">
        <v>616</v>
      </c>
      <c r="J932" s="90"/>
      <c r="K932" s="101"/>
      <c r="L932" s="120"/>
      <c r="M932" s="102">
        <f>9% * M927</f>
        <v>16857</v>
      </c>
      <c r="N932" s="103"/>
    </row>
    <row r="933" spans="2:14" ht="15" thickBot="1" x14ac:dyDescent="0.35">
      <c r="B933" s="89"/>
      <c r="C933" s="90"/>
      <c r="D933" s="90"/>
      <c r="E933" s="90"/>
      <c r="F933" s="90"/>
      <c r="G933" s="90"/>
      <c r="H933" s="90"/>
      <c r="I933" s="101" t="s">
        <v>16</v>
      </c>
      <c r="J933" s="102"/>
      <c r="K933" s="94"/>
      <c r="L933" s="95"/>
      <c r="M933" s="102">
        <f>M927+M931+M932</f>
        <v>221014</v>
      </c>
      <c r="N933" s="103"/>
    </row>
    <row r="934" spans="2:14" x14ac:dyDescent="0.3">
      <c r="B934" s="17"/>
      <c r="N934" s="18"/>
    </row>
    <row r="935" spans="2:14" x14ac:dyDescent="0.3">
      <c r="B935" s="17"/>
      <c r="N935" s="18"/>
    </row>
    <row r="936" spans="2:14" x14ac:dyDescent="0.3">
      <c r="B936" s="17"/>
      <c r="N936" s="18"/>
    </row>
    <row r="937" spans="2:14" x14ac:dyDescent="0.3">
      <c r="B937" s="17"/>
      <c r="N937" s="18"/>
    </row>
    <row r="938" spans="2:14" x14ac:dyDescent="0.3">
      <c r="B938" s="17"/>
      <c r="L938" s="78" t="s">
        <v>18</v>
      </c>
      <c r="N938" s="18"/>
    </row>
    <row r="939" spans="2:14" x14ac:dyDescent="0.3">
      <c r="B939" s="17"/>
      <c r="L939" s="78"/>
      <c r="N939" s="18"/>
    </row>
    <row r="940" spans="2:14" x14ac:dyDescent="0.3">
      <c r="B940" s="17"/>
      <c r="L940" s="78"/>
      <c r="N940" s="18"/>
    </row>
    <row r="941" spans="2:14" ht="15" thickBot="1" x14ac:dyDescent="0.35">
      <c r="B941" s="22"/>
      <c r="C941" s="23"/>
      <c r="D941" s="23"/>
      <c r="E941" s="23"/>
      <c r="F941" s="23"/>
      <c r="G941" s="23"/>
      <c r="H941" s="23"/>
      <c r="I941" s="23"/>
      <c r="J941" s="23"/>
      <c r="K941" s="23"/>
      <c r="L941" s="79" t="s">
        <v>19</v>
      </c>
      <c r="M941" s="23"/>
      <c r="N941" s="25"/>
    </row>
    <row r="948" spans="2:14" ht="15" thickBot="1" x14ac:dyDescent="0.35"/>
    <row r="949" spans="2:14" ht="23.4" x14ac:dyDescent="0.45">
      <c r="B949" s="104" t="s">
        <v>11</v>
      </c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6"/>
    </row>
    <row r="950" spans="2:14" x14ac:dyDescent="0.3">
      <c r="B950" s="107" t="s">
        <v>12</v>
      </c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9"/>
    </row>
    <row r="951" spans="2:14" ht="15.6" x14ac:dyDescent="0.3">
      <c r="B951" s="110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2"/>
    </row>
    <row r="952" spans="2:14" ht="15.6" x14ac:dyDescent="0.3">
      <c r="B952" s="113" t="s">
        <v>0</v>
      </c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5"/>
    </row>
    <row r="953" spans="2:14" x14ac:dyDescent="0.3">
      <c r="B953" s="15" t="s">
        <v>1</v>
      </c>
      <c r="C953" s="14"/>
      <c r="D953" s="14"/>
      <c r="E953" s="14"/>
      <c r="F953" s="14"/>
      <c r="G953" s="13"/>
      <c r="H953" s="12"/>
      <c r="I953" s="14"/>
      <c r="J953" s="14" t="s">
        <v>20</v>
      </c>
      <c r="K953" s="14" t="s">
        <v>685</v>
      </c>
      <c r="L953" s="14"/>
      <c r="M953" s="14"/>
      <c r="N953" s="16"/>
    </row>
    <row r="954" spans="2:14" x14ac:dyDescent="0.3">
      <c r="B954" s="17" t="s">
        <v>2</v>
      </c>
      <c r="G954" s="2"/>
      <c r="H954" s="1"/>
      <c r="J954" t="s">
        <v>13</v>
      </c>
      <c r="K954" t="s">
        <v>686</v>
      </c>
      <c r="N954" s="18"/>
    </row>
    <row r="955" spans="2:14" x14ac:dyDescent="0.3">
      <c r="B955" s="17" t="s">
        <v>23</v>
      </c>
      <c r="G955" s="2"/>
      <c r="H955" s="1"/>
      <c r="N955" s="18"/>
    </row>
    <row r="956" spans="2:14" x14ac:dyDescent="0.3">
      <c r="B956" s="17" t="s">
        <v>24</v>
      </c>
      <c r="G956" s="2"/>
      <c r="H956" s="1"/>
      <c r="N956" s="18"/>
    </row>
    <row r="957" spans="2:14" x14ac:dyDescent="0.3">
      <c r="B957" s="17" t="s">
        <v>3</v>
      </c>
      <c r="C957" t="s">
        <v>4</v>
      </c>
      <c r="G957" s="2"/>
      <c r="H957" s="1"/>
      <c r="N957" s="18"/>
    </row>
    <row r="958" spans="2:14" x14ac:dyDescent="0.3">
      <c r="B958" s="17" t="s">
        <v>5</v>
      </c>
      <c r="C958" s="4"/>
      <c r="D958" s="4"/>
      <c r="E958" s="4"/>
      <c r="F958" s="4"/>
      <c r="G958" s="5"/>
      <c r="H958" s="3"/>
      <c r="I958" s="4"/>
      <c r="J958" s="4"/>
      <c r="M958" s="4"/>
      <c r="N958" s="19"/>
    </row>
    <row r="959" spans="2:14" x14ac:dyDescent="0.3">
      <c r="B959" s="116" t="s">
        <v>6</v>
      </c>
      <c r="C959" s="117"/>
      <c r="D959" s="117"/>
      <c r="E959" s="117"/>
      <c r="F959" s="117"/>
      <c r="G959" s="117"/>
      <c r="H959" s="117"/>
      <c r="I959" s="117"/>
      <c r="J959" s="117"/>
      <c r="K959" s="92" t="s">
        <v>8</v>
      </c>
      <c r="L959" s="93"/>
      <c r="M959" s="74" t="s">
        <v>10</v>
      </c>
      <c r="N959" s="96"/>
    </row>
    <row r="960" spans="2:14" x14ac:dyDescent="0.3">
      <c r="B960" s="15"/>
      <c r="C960" s="14"/>
      <c r="D960" s="14"/>
      <c r="E960" s="14"/>
      <c r="F960" s="14"/>
      <c r="G960" s="14"/>
      <c r="H960" s="14"/>
      <c r="I960" s="14"/>
      <c r="J960" s="14"/>
      <c r="K960" s="1"/>
      <c r="L960" s="2"/>
      <c r="M960" s="35"/>
      <c r="N960" s="87"/>
    </row>
    <row r="961" spans="2:14" x14ac:dyDescent="0.3">
      <c r="B961" s="118" t="s">
        <v>687</v>
      </c>
      <c r="C961" s="119"/>
      <c r="D961" s="119"/>
      <c r="E961" s="119"/>
      <c r="F961" s="119"/>
      <c r="G961" s="119"/>
      <c r="H961" s="119"/>
      <c r="I961" s="119"/>
      <c r="J961" s="119"/>
      <c r="K961" s="91">
        <v>249400</v>
      </c>
      <c r="L961" s="2"/>
      <c r="M961" s="35">
        <f>K961</f>
        <v>249400</v>
      </c>
      <c r="N961" s="87"/>
    </row>
    <row r="962" spans="2:14" x14ac:dyDescent="0.3">
      <c r="B962" s="17"/>
      <c r="K962" s="1"/>
      <c r="L962" s="2"/>
      <c r="M962" s="35"/>
      <c r="N962" s="87"/>
    </row>
    <row r="963" spans="2:14" x14ac:dyDescent="0.3">
      <c r="B963" s="17"/>
      <c r="D963" t="s">
        <v>21</v>
      </c>
      <c r="K963" s="1"/>
      <c r="L963" s="2"/>
      <c r="M963" s="35"/>
      <c r="N963" s="87"/>
    </row>
    <row r="964" spans="2:14" ht="15" thickBot="1" x14ac:dyDescent="0.35">
      <c r="B964" s="17"/>
      <c r="K964" s="1"/>
      <c r="L964" s="2"/>
      <c r="M964" s="35"/>
      <c r="N964" s="87"/>
    </row>
    <row r="965" spans="2:14" ht="15" thickBot="1" x14ac:dyDescent="0.35">
      <c r="B965" s="89"/>
      <c r="C965" s="90"/>
      <c r="D965" s="90"/>
      <c r="E965" s="90"/>
      <c r="F965" s="90"/>
      <c r="G965" s="90"/>
      <c r="H965" s="90"/>
      <c r="I965" s="90" t="s">
        <v>615</v>
      </c>
      <c r="J965" s="90"/>
      <c r="K965" s="101"/>
      <c r="L965" s="120"/>
      <c r="M965" s="102">
        <f>9% * M961</f>
        <v>22446</v>
      </c>
      <c r="N965" s="103"/>
    </row>
    <row r="966" spans="2:14" ht="15" thickBot="1" x14ac:dyDescent="0.35">
      <c r="B966" s="89"/>
      <c r="C966" s="90"/>
      <c r="D966" s="90"/>
      <c r="E966" s="90"/>
      <c r="F966" s="90"/>
      <c r="G966" s="90"/>
      <c r="H966" s="90"/>
      <c r="I966" s="90" t="s">
        <v>616</v>
      </c>
      <c r="J966" s="90"/>
      <c r="K966" s="101"/>
      <c r="L966" s="120"/>
      <c r="M966" s="102">
        <f>9% * M961</f>
        <v>22446</v>
      </c>
      <c r="N966" s="103"/>
    </row>
    <row r="967" spans="2:14" ht="15" thickBot="1" x14ac:dyDescent="0.35">
      <c r="B967" s="89"/>
      <c r="C967" s="90"/>
      <c r="D967" s="90"/>
      <c r="E967" s="90"/>
      <c r="F967" s="90"/>
      <c r="G967" s="90"/>
      <c r="H967" s="90"/>
      <c r="I967" s="101" t="s">
        <v>16</v>
      </c>
      <c r="J967" s="102"/>
      <c r="K967" s="94"/>
      <c r="L967" s="95"/>
      <c r="M967" s="102">
        <f>M961+M965+M966</f>
        <v>294292</v>
      </c>
      <c r="N967" s="103"/>
    </row>
    <row r="968" spans="2:14" x14ac:dyDescent="0.3">
      <c r="B968" s="17"/>
      <c r="N968" s="18"/>
    </row>
    <row r="969" spans="2:14" x14ac:dyDescent="0.3">
      <c r="B969" s="17"/>
      <c r="N969" s="18"/>
    </row>
    <row r="970" spans="2:14" x14ac:dyDescent="0.3">
      <c r="B970" s="17"/>
      <c r="N970" s="18"/>
    </row>
    <row r="971" spans="2:14" x14ac:dyDescent="0.3">
      <c r="B971" s="17"/>
      <c r="N971" s="18"/>
    </row>
    <row r="972" spans="2:14" x14ac:dyDescent="0.3">
      <c r="B972" s="17"/>
      <c r="L972" s="78" t="s">
        <v>18</v>
      </c>
      <c r="N972" s="18"/>
    </row>
    <row r="973" spans="2:14" x14ac:dyDescent="0.3">
      <c r="B973" s="17"/>
      <c r="L973" s="78"/>
      <c r="N973" s="18"/>
    </row>
    <row r="974" spans="2:14" x14ac:dyDescent="0.3">
      <c r="B974" s="17"/>
      <c r="L974" s="78"/>
      <c r="N974" s="18"/>
    </row>
    <row r="975" spans="2:14" ht="15" thickBot="1" x14ac:dyDescent="0.35">
      <c r="B975" s="22"/>
      <c r="C975" s="23"/>
      <c r="D975" s="23"/>
      <c r="E975" s="23"/>
      <c r="F975" s="23"/>
      <c r="G975" s="23"/>
      <c r="H975" s="23"/>
      <c r="I975" s="23"/>
      <c r="J975" s="23"/>
      <c r="K975" s="23"/>
      <c r="L975" s="79" t="s">
        <v>19</v>
      </c>
      <c r="M975" s="23"/>
      <c r="N975" s="25"/>
    </row>
  </sheetData>
  <mergeCells count="472">
    <mergeCell ref="I933:J933"/>
    <mergeCell ref="M933:N933"/>
    <mergeCell ref="B915:N915"/>
    <mergeCell ref="B916:N916"/>
    <mergeCell ref="B917:N917"/>
    <mergeCell ref="B918:N918"/>
    <mergeCell ref="B925:J925"/>
    <mergeCell ref="B927:J927"/>
    <mergeCell ref="K931:L931"/>
    <mergeCell ref="M931:N931"/>
    <mergeCell ref="K932:L932"/>
    <mergeCell ref="M932:N932"/>
    <mergeCell ref="I868:J868"/>
    <mergeCell ref="M868:N868"/>
    <mergeCell ref="B850:N850"/>
    <mergeCell ref="B851:N851"/>
    <mergeCell ref="B852:N852"/>
    <mergeCell ref="B853:N853"/>
    <mergeCell ref="B860:J860"/>
    <mergeCell ref="B862:J862"/>
    <mergeCell ref="K866:L866"/>
    <mergeCell ref="M866:N866"/>
    <mergeCell ref="K867:L867"/>
    <mergeCell ref="M867:N867"/>
    <mergeCell ref="B794:J794"/>
    <mergeCell ref="K799:L799"/>
    <mergeCell ref="K798:L798"/>
    <mergeCell ref="B816:N816"/>
    <mergeCell ref="B817:N817"/>
    <mergeCell ref="B818:N818"/>
    <mergeCell ref="B819:N819"/>
    <mergeCell ref="B826:J826"/>
    <mergeCell ref="B828:J828"/>
    <mergeCell ref="M832:N832"/>
    <mergeCell ref="M833:N833"/>
    <mergeCell ref="M834:N834"/>
    <mergeCell ref="K832:L832"/>
    <mergeCell ref="K833:L833"/>
    <mergeCell ref="I834:J834"/>
    <mergeCell ref="M798:N798"/>
    <mergeCell ref="M799:N799"/>
    <mergeCell ref="I800:J800"/>
    <mergeCell ref="M800:N800"/>
    <mergeCell ref="B792:J792"/>
    <mergeCell ref="B782:N782"/>
    <mergeCell ref="B783:N783"/>
    <mergeCell ref="B784:N784"/>
    <mergeCell ref="B785:N785"/>
    <mergeCell ref="M723:N723"/>
    <mergeCell ref="M724:N724"/>
    <mergeCell ref="M725:N725"/>
    <mergeCell ref="M726:N726"/>
    <mergeCell ref="I727:J727"/>
    <mergeCell ref="M727:N727"/>
    <mergeCell ref="C729:N730"/>
    <mergeCell ref="M757:N757"/>
    <mergeCell ref="M758:N758"/>
    <mergeCell ref="M759:N759"/>
    <mergeCell ref="M760:N760"/>
    <mergeCell ref="I761:J761"/>
    <mergeCell ref="M761:N761"/>
    <mergeCell ref="C763:N764"/>
    <mergeCell ref="B743:N743"/>
    <mergeCell ref="B744:N744"/>
    <mergeCell ref="B745:N745"/>
    <mergeCell ref="B746:N746"/>
    <mergeCell ref="B753:J753"/>
    <mergeCell ref="B709:N709"/>
    <mergeCell ref="B710:N710"/>
    <mergeCell ref="B711:N711"/>
    <mergeCell ref="B712:N712"/>
    <mergeCell ref="B719:J719"/>
    <mergeCell ref="M720:N720"/>
    <mergeCell ref="B721:J721"/>
    <mergeCell ref="M721:N721"/>
    <mergeCell ref="M722:N722"/>
    <mergeCell ref="M690:N690"/>
    <mergeCell ref="M691:N691"/>
    <mergeCell ref="M692:N692"/>
    <mergeCell ref="M693:N693"/>
    <mergeCell ref="I694:J694"/>
    <mergeCell ref="M694:N694"/>
    <mergeCell ref="C696:N697"/>
    <mergeCell ref="B676:N676"/>
    <mergeCell ref="B677:N677"/>
    <mergeCell ref="B678:N678"/>
    <mergeCell ref="B679:N679"/>
    <mergeCell ref="B686:J686"/>
    <mergeCell ref="M687:N687"/>
    <mergeCell ref="B688:J688"/>
    <mergeCell ref="M688:N688"/>
    <mergeCell ref="M689:N689"/>
    <mergeCell ref="I661:J661"/>
    <mergeCell ref="M661:N661"/>
    <mergeCell ref="C663:N664"/>
    <mergeCell ref="M590:N590"/>
    <mergeCell ref="M591:N591"/>
    <mergeCell ref="M592:N592"/>
    <mergeCell ref="M593:N593"/>
    <mergeCell ref="I594:J594"/>
    <mergeCell ref="M594:N594"/>
    <mergeCell ref="C596:N597"/>
    <mergeCell ref="M624:N624"/>
    <mergeCell ref="M625:N625"/>
    <mergeCell ref="M626:N626"/>
    <mergeCell ref="M627:N627"/>
    <mergeCell ref="I628:J628"/>
    <mergeCell ref="M628:N628"/>
    <mergeCell ref="C630:N631"/>
    <mergeCell ref="B610:N610"/>
    <mergeCell ref="B611:N611"/>
    <mergeCell ref="B612:N612"/>
    <mergeCell ref="B643:N643"/>
    <mergeCell ref="B644:N644"/>
    <mergeCell ref="B645:N645"/>
    <mergeCell ref="B646:N646"/>
    <mergeCell ref="B588:J588"/>
    <mergeCell ref="M588:N588"/>
    <mergeCell ref="M589:N589"/>
    <mergeCell ref="M657:N657"/>
    <mergeCell ref="M658:N658"/>
    <mergeCell ref="M659:N659"/>
    <mergeCell ref="M660:N660"/>
    <mergeCell ref="B653:J653"/>
    <mergeCell ref="M654:N654"/>
    <mergeCell ref="B655:J655"/>
    <mergeCell ref="M655:N655"/>
    <mergeCell ref="M656:N656"/>
    <mergeCell ref="B613:N613"/>
    <mergeCell ref="B620:J620"/>
    <mergeCell ref="M621:N621"/>
    <mergeCell ref="B622:J622"/>
    <mergeCell ref="M622:N622"/>
    <mergeCell ref="M623:N623"/>
    <mergeCell ref="B578:N578"/>
    <mergeCell ref="B579:N579"/>
    <mergeCell ref="M562:N562"/>
    <mergeCell ref="M563:N563"/>
    <mergeCell ref="I564:J564"/>
    <mergeCell ref="M564:N564"/>
    <mergeCell ref="C566:N567"/>
    <mergeCell ref="B586:J586"/>
    <mergeCell ref="M587:N587"/>
    <mergeCell ref="M502:N502"/>
    <mergeCell ref="M503:N503"/>
    <mergeCell ref="I504:J504"/>
    <mergeCell ref="M504:N504"/>
    <mergeCell ref="C506:N507"/>
    <mergeCell ref="B488:N488"/>
    <mergeCell ref="B489:N489"/>
    <mergeCell ref="B496:J496"/>
    <mergeCell ref="M497:N497"/>
    <mergeCell ref="B498:J498"/>
    <mergeCell ref="M498:N498"/>
    <mergeCell ref="M499:N499"/>
    <mergeCell ref="M500:N500"/>
    <mergeCell ref="M501:N501"/>
    <mergeCell ref="M471:N471"/>
    <mergeCell ref="M472:N472"/>
    <mergeCell ref="M473:N473"/>
    <mergeCell ref="M474:N474"/>
    <mergeCell ref="I475:J475"/>
    <mergeCell ref="M475:N475"/>
    <mergeCell ref="C477:N478"/>
    <mergeCell ref="B486:N486"/>
    <mergeCell ref="B487:N487"/>
    <mergeCell ref="B457:N457"/>
    <mergeCell ref="B458:N458"/>
    <mergeCell ref="B459:N459"/>
    <mergeCell ref="B460:N460"/>
    <mergeCell ref="B467:J467"/>
    <mergeCell ref="M468:N468"/>
    <mergeCell ref="B469:J469"/>
    <mergeCell ref="M469:N469"/>
    <mergeCell ref="M470:N470"/>
    <mergeCell ref="M443:N443"/>
    <mergeCell ref="M444:N444"/>
    <mergeCell ref="I445:J445"/>
    <mergeCell ref="M445:N445"/>
    <mergeCell ref="C447:N448"/>
    <mergeCell ref="B429:N429"/>
    <mergeCell ref="B430:N430"/>
    <mergeCell ref="B437:J437"/>
    <mergeCell ref="M438:N438"/>
    <mergeCell ref="B439:J439"/>
    <mergeCell ref="M439:N439"/>
    <mergeCell ref="M440:N440"/>
    <mergeCell ref="M441:N441"/>
    <mergeCell ref="M442:N442"/>
    <mergeCell ref="M411:N411"/>
    <mergeCell ref="M412:N412"/>
    <mergeCell ref="M413:N413"/>
    <mergeCell ref="M414:N414"/>
    <mergeCell ref="I415:J415"/>
    <mergeCell ref="M415:N415"/>
    <mergeCell ref="C417:N418"/>
    <mergeCell ref="B427:N427"/>
    <mergeCell ref="B428:N428"/>
    <mergeCell ref="B397:N397"/>
    <mergeCell ref="B398:N398"/>
    <mergeCell ref="B399:N399"/>
    <mergeCell ref="B400:N400"/>
    <mergeCell ref="B407:J407"/>
    <mergeCell ref="M408:N408"/>
    <mergeCell ref="B409:J409"/>
    <mergeCell ref="M409:N409"/>
    <mergeCell ref="M410:N410"/>
    <mergeCell ref="I385:J385"/>
    <mergeCell ref="M385:N385"/>
    <mergeCell ref="C387:N388"/>
    <mergeCell ref="B377:J377"/>
    <mergeCell ref="M378:N378"/>
    <mergeCell ref="B379:J379"/>
    <mergeCell ref="M379:N379"/>
    <mergeCell ref="M380:N380"/>
    <mergeCell ref="M381:N381"/>
    <mergeCell ref="M382:N382"/>
    <mergeCell ref="M383:N383"/>
    <mergeCell ref="M384:N384"/>
    <mergeCell ref="M353:N353"/>
    <mergeCell ref="M354:N354"/>
    <mergeCell ref="I355:J355"/>
    <mergeCell ref="M355:N355"/>
    <mergeCell ref="C357:N358"/>
    <mergeCell ref="B367:N367"/>
    <mergeCell ref="B368:N368"/>
    <mergeCell ref="B369:N369"/>
    <mergeCell ref="B370:N370"/>
    <mergeCell ref="B339:N339"/>
    <mergeCell ref="B340:N340"/>
    <mergeCell ref="B347:J347"/>
    <mergeCell ref="M348:N348"/>
    <mergeCell ref="B349:J349"/>
    <mergeCell ref="M349:N349"/>
    <mergeCell ref="M350:N350"/>
    <mergeCell ref="M351:N351"/>
    <mergeCell ref="M352:N352"/>
    <mergeCell ref="M320:N320"/>
    <mergeCell ref="M321:N321"/>
    <mergeCell ref="M322:N322"/>
    <mergeCell ref="M323:N323"/>
    <mergeCell ref="I324:J324"/>
    <mergeCell ref="M324:N324"/>
    <mergeCell ref="C326:N327"/>
    <mergeCell ref="B337:N337"/>
    <mergeCell ref="B338:N338"/>
    <mergeCell ref="B306:N306"/>
    <mergeCell ref="B307:N307"/>
    <mergeCell ref="B308:N308"/>
    <mergeCell ref="B309:N309"/>
    <mergeCell ref="B316:J316"/>
    <mergeCell ref="M317:N317"/>
    <mergeCell ref="B318:J318"/>
    <mergeCell ref="M318:N318"/>
    <mergeCell ref="M319:N319"/>
    <mergeCell ref="M259:N259"/>
    <mergeCell ref="M260:N260"/>
    <mergeCell ref="M261:N261"/>
    <mergeCell ref="M262:N262"/>
    <mergeCell ref="I263:J263"/>
    <mergeCell ref="M263:N263"/>
    <mergeCell ref="C265:N266"/>
    <mergeCell ref="B245:N245"/>
    <mergeCell ref="B246:N246"/>
    <mergeCell ref="B247:N247"/>
    <mergeCell ref="B248:N248"/>
    <mergeCell ref="B255:J255"/>
    <mergeCell ref="M256:N256"/>
    <mergeCell ref="B257:J257"/>
    <mergeCell ref="M257:N257"/>
    <mergeCell ref="M258:N258"/>
    <mergeCell ref="M77:N77"/>
    <mergeCell ref="C83:N84"/>
    <mergeCell ref="M78:N78"/>
    <mergeCell ref="M79:N79"/>
    <mergeCell ref="M80:N80"/>
    <mergeCell ref="I81:J81"/>
    <mergeCell ref="M81:N81"/>
    <mergeCell ref="B63:N63"/>
    <mergeCell ref="B64:N64"/>
    <mergeCell ref="B65:N65"/>
    <mergeCell ref="B66:N66"/>
    <mergeCell ref="B73:J73"/>
    <mergeCell ref="M74:N74"/>
    <mergeCell ref="B75:J75"/>
    <mergeCell ref="M75:N75"/>
    <mergeCell ref="M76:N76"/>
    <mergeCell ref="B33:N33"/>
    <mergeCell ref="B34:N34"/>
    <mergeCell ref="B35:N35"/>
    <mergeCell ref="B36:N36"/>
    <mergeCell ref="B43:J43"/>
    <mergeCell ref="B3:N3"/>
    <mergeCell ref="B2:N2"/>
    <mergeCell ref="B4:N4"/>
    <mergeCell ref="M20:N20"/>
    <mergeCell ref="M19:N19"/>
    <mergeCell ref="M18:N18"/>
    <mergeCell ref="M17:N17"/>
    <mergeCell ref="I20:J20"/>
    <mergeCell ref="C22:N23"/>
    <mergeCell ref="B5:N5"/>
    <mergeCell ref="M16:N16"/>
    <mergeCell ref="M15:N15"/>
    <mergeCell ref="M14:N14"/>
    <mergeCell ref="M13:N13"/>
    <mergeCell ref="B12:J12"/>
    <mergeCell ref="B14:J14"/>
    <mergeCell ref="C53:N54"/>
    <mergeCell ref="M48:N48"/>
    <mergeCell ref="M49:N49"/>
    <mergeCell ref="M50:N50"/>
    <mergeCell ref="I51:J51"/>
    <mergeCell ref="M51:N51"/>
    <mergeCell ref="M44:N44"/>
    <mergeCell ref="B45:J45"/>
    <mergeCell ref="M45:N45"/>
    <mergeCell ref="M46:N46"/>
    <mergeCell ref="M47:N47"/>
    <mergeCell ref="M105:N105"/>
    <mergeCell ref="B106:J106"/>
    <mergeCell ref="M106:N106"/>
    <mergeCell ref="M107:N107"/>
    <mergeCell ref="M108:N108"/>
    <mergeCell ref="B94:N94"/>
    <mergeCell ref="B95:N95"/>
    <mergeCell ref="B96:N96"/>
    <mergeCell ref="B97:N97"/>
    <mergeCell ref="B104:J104"/>
    <mergeCell ref="B125:N125"/>
    <mergeCell ref="B126:N126"/>
    <mergeCell ref="B127:N127"/>
    <mergeCell ref="B128:N128"/>
    <mergeCell ref="B135:J135"/>
    <mergeCell ref="C114:N115"/>
    <mergeCell ref="M109:N109"/>
    <mergeCell ref="M110:N110"/>
    <mergeCell ref="M111:N111"/>
    <mergeCell ref="I112:J112"/>
    <mergeCell ref="M112:N112"/>
    <mergeCell ref="C145:N146"/>
    <mergeCell ref="M140:N140"/>
    <mergeCell ref="M141:N141"/>
    <mergeCell ref="M142:N142"/>
    <mergeCell ref="I143:J143"/>
    <mergeCell ref="M143:N143"/>
    <mergeCell ref="M136:N136"/>
    <mergeCell ref="B137:J137"/>
    <mergeCell ref="M137:N137"/>
    <mergeCell ref="M138:N138"/>
    <mergeCell ref="M139:N139"/>
    <mergeCell ref="M166:N166"/>
    <mergeCell ref="B167:J167"/>
    <mergeCell ref="M167:N167"/>
    <mergeCell ref="M168:N168"/>
    <mergeCell ref="M169:N169"/>
    <mergeCell ref="B155:N155"/>
    <mergeCell ref="B156:N156"/>
    <mergeCell ref="B157:N157"/>
    <mergeCell ref="B158:N158"/>
    <mergeCell ref="B165:J165"/>
    <mergeCell ref="B185:N185"/>
    <mergeCell ref="B186:N186"/>
    <mergeCell ref="B187:N187"/>
    <mergeCell ref="B188:N188"/>
    <mergeCell ref="B195:J195"/>
    <mergeCell ref="C175:N176"/>
    <mergeCell ref="M170:N170"/>
    <mergeCell ref="M171:N171"/>
    <mergeCell ref="M172:N172"/>
    <mergeCell ref="I173:J173"/>
    <mergeCell ref="M173:N173"/>
    <mergeCell ref="C205:N206"/>
    <mergeCell ref="M200:N200"/>
    <mergeCell ref="M201:N201"/>
    <mergeCell ref="M202:N202"/>
    <mergeCell ref="I203:J203"/>
    <mergeCell ref="M203:N203"/>
    <mergeCell ref="M196:N196"/>
    <mergeCell ref="B197:J197"/>
    <mergeCell ref="M197:N197"/>
    <mergeCell ref="M198:N198"/>
    <mergeCell ref="M199:N199"/>
    <mergeCell ref="M230:N230"/>
    <mergeCell ref="M231:N231"/>
    <mergeCell ref="M232:N232"/>
    <mergeCell ref="M233:N233"/>
    <mergeCell ref="I234:J234"/>
    <mergeCell ref="M234:N234"/>
    <mergeCell ref="C236:N237"/>
    <mergeCell ref="B216:N216"/>
    <mergeCell ref="B217:N217"/>
    <mergeCell ref="B218:N218"/>
    <mergeCell ref="B219:N219"/>
    <mergeCell ref="B226:J226"/>
    <mergeCell ref="M227:N227"/>
    <mergeCell ref="B228:J228"/>
    <mergeCell ref="M228:N228"/>
    <mergeCell ref="M229:N229"/>
    <mergeCell ref="M289:N289"/>
    <mergeCell ref="M290:N290"/>
    <mergeCell ref="M291:N291"/>
    <mergeCell ref="M292:N292"/>
    <mergeCell ref="I293:J293"/>
    <mergeCell ref="M293:N293"/>
    <mergeCell ref="C295:N296"/>
    <mergeCell ref="B275:N275"/>
    <mergeCell ref="B276:N276"/>
    <mergeCell ref="B277:N277"/>
    <mergeCell ref="B278:N278"/>
    <mergeCell ref="B285:J285"/>
    <mergeCell ref="M286:N286"/>
    <mergeCell ref="B287:J287"/>
    <mergeCell ref="M287:N287"/>
    <mergeCell ref="M288:N288"/>
    <mergeCell ref="B516:N516"/>
    <mergeCell ref="B517:N517"/>
    <mergeCell ref="B518:N518"/>
    <mergeCell ref="B519:N519"/>
    <mergeCell ref="B526:J526"/>
    <mergeCell ref="M527:N527"/>
    <mergeCell ref="B528:J528"/>
    <mergeCell ref="M528:N528"/>
    <mergeCell ref="M529:N529"/>
    <mergeCell ref="M754:N754"/>
    <mergeCell ref="B755:J755"/>
    <mergeCell ref="M755:N755"/>
    <mergeCell ref="M756:N756"/>
    <mergeCell ref="M530:N530"/>
    <mergeCell ref="M531:N531"/>
    <mergeCell ref="M532:N532"/>
    <mergeCell ref="M533:N533"/>
    <mergeCell ref="I534:J534"/>
    <mergeCell ref="M534:N534"/>
    <mergeCell ref="C536:N537"/>
    <mergeCell ref="M560:N560"/>
    <mergeCell ref="M561:N561"/>
    <mergeCell ref="B546:N546"/>
    <mergeCell ref="B547:N547"/>
    <mergeCell ref="B548:N548"/>
    <mergeCell ref="B549:N549"/>
    <mergeCell ref="B556:J556"/>
    <mergeCell ref="M557:N557"/>
    <mergeCell ref="B558:J558"/>
    <mergeCell ref="M558:N558"/>
    <mergeCell ref="M559:N559"/>
    <mergeCell ref="B576:N576"/>
    <mergeCell ref="B577:N577"/>
    <mergeCell ref="I901:J901"/>
    <mergeCell ref="M901:N901"/>
    <mergeCell ref="B883:N883"/>
    <mergeCell ref="B884:N884"/>
    <mergeCell ref="B885:N885"/>
    <mergeCell ref="B886:N886"/>
    <mergeCell ref="B893:J893"/>
    <mergeCell ref="B895:J895"/>
    <mergeCell ref="K899:L899"/>
    <mergeCell ref="M899:N899"/>
    <mergeCell ref="K900:L900"/>
    <mergeCell ref="M900:N900"/>
    <mergeCell ref="I967:J967"/>
    <mergeCell ref="M967:N967"/>
    <mergeCell ref="B949:N949"/>
    <mergeCell ref="B950:N950"/>
    <mergeCell ref="B951:N951"/>
    <mergeCell ref="B952:N952"/>
    <mergeCell ref="B959:J959"/>
    <mergeCell ref="B961:J961"/>
    <mergeCell ref="K965:L965"/>
    <mergeCell ref="M965:N965"/>
    <mergeCell ref="K966:L966"/>
    <mergeCell ref="M966:N966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48B3-BEDE-4284-8355-06D73623A544}">
  <sheetPr>
    <pageSetUpPr fitToPage="1"/>
  </sheetPr>
  <dimension ref="A1:W58"/>
  <sheetViews>
    <sheetView showGridLines="0" zoomScaleNormal="100" workbookViewId="0">
      <selection activeCell="F65" sqref="F65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0.21875" hidden="1" customWidth="1"/>
    <col min="6" max="6" width="13.77734375" customWidth="1"/>
    <col min="7" max="7" width="9.44140625" style="31" hidden="1" customWidth="1"/>
    <col min="8" max="8" width="10.21875" style="31" hidden="1" customWidth="1"/>
    <col min="9" max="9" width="10.44140625" style="31" hidden="1" customWidth="1"/>
    <col min="10" max="10" width="11" bestFit="1" customWidth="1"/>
    <col min="13" max="13" width="9.77734375" customWidth="1"/>
    <col min="14" max="14" width="22.77734375" hidden="1" customWidth="1"/>
    <col min="15" max="18" width="9.21875" hidden="1" customWidth="1"/>
    <col min="19" max="20" width="9.21875" customWidth="1"/>
  </cols>
  <sheetData>
    <row r="1" spans="1:23" x14ac:dyDescent="0.3">
      <c r="A1" s="8" t="s">
        <v>104</v>
      </c>
      <c r="O1" s="35"/>
      <c r="P1" s="35" t="s">
        <v>106</v>
      </c>
      <c r="Q1" s="35"/>
    </row>
    <row r="2" spans="1:23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7" t="s">
        <v>29</v>
      </c>
      <c r="F2" s="26" t="s">
        <v>30</v>
      </c>
      <c r="G2" s="32" t="s">
        <v>31</v>
      </c>
      <c r="H2" s="32" t="s">
        <v>32</v>
      </c>
      <c r="I2" s="32" t="s">
        <v>33</v>
      </c>
      <c r="J2" s="27" t="s">
        <v>34</v>
      </c>
      <c r="K2" s="26" t="s">
        <v>35</v>
      </c>
      <c r="L2" s="26" t="s">
        <v>36</v>
      </c>
      <c r="M2" s="27" t="s">
        <v>37</v>
      </c>
      <c r="N2" s="26" t="s">
        <v>87</v>
      </c>
      <c r="O2" s="27" t="s">
        <v>39</v>
      </c>
      <c r="P2" s="27" t="s">
        <v>40</v>
      </c>
      <c r="Q2" s="26" t="s">
        <v>41</v>
      </c>
      <c r="R2" t="s">
        <v>38</v>
      </c>
    </row>
    <row r="3" spans="1:23" x14ac:dyDescent="0.3">
      <c r="A3" s="10">
        <v>1</v>
      </c>
      <c r="B3" s="10" t="s">
        <v>42</v>
      </c>
      <c r="C3" s="10" t="s">
        <v>43</v>
      </c>
      <c r="D3" s="10" t="s">
        <v>44</v>
      </c>
      <c r="E3" s="10">
        <v>205</v>
      </c>
      <c r="F3" s="10" t="s">
        <v>45</v>
      </c>
      <c r="G3" s="33">
        <v>4029.55</v>
      </c>
      <c r="H3" s="33">
        <v>3784.33</v>
      </c>
      <c r="I3" s="34" t="s">
        <v>46</v>
      </c>
      <c r="J3" s="10" t="s">
        <v>47</v>
      </c>
      <c r="K3" s="10">
        <v>7500</v>
      </c>
      <c r="L3" s="10">
        <f>1200*2</f>
        <v>2400</v>
      </c>
      <c r="M3" s="10">
        <f>+L3+K3</f>
        <v>9900</v>
      </c>
      <c r="N3" s="10" t="s">
        <v>48</v>
      </c>
      <c r="O3" s="10">
        <f>5000+5000</f>
        <v>10000</v>
      </c>
      <c r="P3" s="10">
        <f>L3</f>
        <v>2400</v>
      </c>
      <c r="Q3" s="10">
        <f t="shared" ref="Q3:Q20" si="0">+P3+O3</f>
        <v>12400</v>
      </c>
      <c r="R3" t="s">
        <v>49</v>
      </c>
    </row>
    <row r="4" spans="1:23" x14ac:dyDescent="0.3">
      <c r="A4" s="10">
        <v>2</v>
      </c>
      <c r="B4" s="10" t="s">
        <v>50</v>
      </c>
      <c r="C4" s="10" t="s">
        <v>43</v>
      </c>
      <c r="D4" s="10" t="s">
        <v>44</v>
      </c>
      <c r="E4" s="10">
        <v>250</v>
      </c>
      <c r="F4" s="10" t="s">
        <v>45</v>
      </c>
      <c r="G4" s="33">
        <v>5167</v>
      </c>
      <c r="H4" s="33">
        <v>2666.22</v>
      </c>
      <c r="I4" s="34" t="s">
        <v>51</v>
      </c>
      <c r="J4" s="10" t="s">
        <v>47</v>
      </c>
      <c r="K4" s="10">
        <v>7500</v>
      </c>
      <c r="L4" s="10">
        <f>1200*3</f>
        <v>3600</v>
      </c>
      <c r="M4" s="10">
        <f t="shared" ref="M4:M23" si="1">+L4+K4</f>
        <v>11100</v>
      </c>
      <c r="N4" s="10" t="s">
        <v>52</v>
      </c>
      <c r="O4" s="10">
        <v>5000</v>
      </c>
      <c r="P4" s="10">
        <f t="shared" ref="P4:P20" si="2">L4</f>
        <v>3600</v>
      </c>
      <c r="Q4" s="10">
        <f t="shared" si="0"/>
        <v>8600</v>
      </c>
    </row>
    <row r="5" spans="1:23" x14ac:dyDescent="0.3">
      <c r="A5" s="10">
        <v>3</v>
      </c>
      <c r="B5" s="10" t="s">
        <v>50</v>
      </c>
      <c r="C5" s="10" t="s">
        <v>44</v>
      </c>
      <c r="D5" s="10" t="s">
        <v>53</v>
      </c>
      <c r="E5" s="10"/>
      <c r="F5" s="10" t="s">
        <v>54</v>
      </c>
      <c r="G5" s="33"/>
      <c r="H5" s="33"/>
      <c r="I5" s="34" t="s">
        <v>55</v>
      </c>
      <c r="J5" s="10" t="s">
        <v>55</v>
      </c>
      <c r="K5" s="10">
        <v>4900</v>
      </c>
      <c r="L5" s="10">
        <f>1200*2</f>
        <v>2400</v>
      </c>
      <c r="M5" s="10">
        <f t="shared" si="1"/>
        <v>7300</v>
      </c>
      <c r="N5" s="10" t="s">
        <v>48</v>
      </c>
      <c r="O5" s="10">
        <v>4200</v>
      </c>
      <c r="P5" s="10">
        <f t="shared" si="2"/>
        <v>2400</v>
      </c>
      <c r="Q5" s="10">
        <f t="shared" si="0"/>
        <v>6600</v>
      </c>
      <c r="V5">
        <v>6000</v>
      </c>
      <c r="W5">
        <v>5000</v>
      </c>
    </row>
    <row r="6" spans="1:23" x14ac:dyDescent="0.3">
      <c r="A6" s="10">
        <v>4</v>
      </c>
      <c r="B6" s="10" t="s">
        <v>56</v>
      </c>
      <c r="C6" s="10" t="s">
        <v>43</v>
      </c>
      <c r="D6" s="10" t="s">
        <v>44</v>
      </c>
      <c r="E6" s="10">
        <v>344</v>
      </c>
      <c r="F6" s="10" t="s">
        <v>57</v>
      </c>
      <c r="G6" s="33">
        <v>6165.71</v>
      </c>
      <c r="H6" s="33">
        <v>3550.3</v>
      </c>
      <c r="I6" s="34" t="s">
        <v>58</v>
      </c>
      <c r="J6" s="10" t="s">
        <v>47</v>
      </c>
      <c r="K6" s="10">
        <v>7500</v>
      </c>
      <c r="L6" s="10">
        <f>1200*3</f>
        <v>3600</v>
      </c>
      <c r="M6" s="10">
        <f t="shared" si="1"/>
        <v>11100</v>
      </c>
      <c r="N6" s="10" t="s">
        <v>52</v>
      </c>
      <c r="O6" s="10">
        <f>5000*2</f>
        <v>10000</v>
      </c>
      <c r="P6" s="10">
        <f t="shared" si="2"/>
        <v>3600</v>
      </c>
      <c r="Q6" s="10">
        <f t="shared" si="0"/>
        <v>13600</v>
      </c>
      <c r="R6" t="s">
        <v>49</v>
      </c>
      <c r="V6">
        <v>5500</v>
      </c>
      <c r="W6">
        <v>5000</v>
      </c>
    </row>
    <row r="7" spans="1:23" x14ac:dyDescent="0.3">
      <c r="A7" s="10">
        <v>5</v>
      </c>
      <c r="B7" s="10" t="s">
        <v>56</v>
      </c>
      <c r="C7" s="10" t="s">
        <v>43</v>
      </c>
      <c r="D7" s="10" t="s">
        <v>44</v>
      </c>
      <c r="E7" s="10">
        <v>344</v>
      </c>
      <c r="F7" s="10" t="s">
        <v>54</v>
      </c>
      <c r="G7" s="33">
        <v>6165.71</v>
      </c>
      <c r="H7" s="33">
        <v>3550.3</v>
      </c>
      <c r="I7" s="34" t="s">
        <v>47</v>
      </c>
      <c r="J7" s="10" t="s">
        <v>47</v>
      </c>
      <c r="K7" s="10">
        <v>7500</v>
      </c>
      <c r="L7" s="10">
        <f>1200*3</f>
        <v>3600</v>
      </c>
      <c r="M7" s="10">
        <f t="shared" si="1"/>
        <v>11100</v>
      </c>
      <c r="N7" s="10" t="s">
        <v>52</v>
      </c>
      <c r="O7" s="10">
        <f>5000*2</f>
        <v>10000</v>
      </c>
      <c r="P7" s="10">
        <f t="shared" si="2"/>
        <v>3600</v>
      </c>
      <c r="Q7" s="10">
        <f t="shared" si="0"/>
        <v>13600</v>
      </c>
      <c r="R7" t="s">
        <v>49</v>
      </c>
      <c r="V7">
        <v>5500</v>
      </c>
      <c r="W7">
        <v>5000</v>
      </c>
    </row>
    <row r="8" spans="1:23" x14ac:dyDescent="0.3">
      <c r="A8" s="10">
        <v>6</v>
      </c>
      <c r="B8" s="10" t="s">
        <v>56</v>
      </c>
      <c r="C8" s="10" t="s">
        <v>59</v>
      </c>
      <c r="D8" s="10" t="s">
        <v>44</v>
      </c>
      <c r="E8" s="10"/>
      <c r="F8" s="10" t="s">
        <v>60</v>
      </c>
      <c r="G8" s="33"/>
      <c r="H8" s="33"/>
      <c r="I8" s="34" t="s">
        <v>61</v>
      </c>
      <c r="J8" s="10" t="s">
        <v>55</v>
      </c>
      <c r="K8" s="10">
        <v>5200</v>
      </c>
      <c r="L8" s="10">
        <v>1200</v>
      </c>
      <c r="M8" s="10">
        <f t="shared" si="1"/>
        <v>6400</v>
      </c>
      <c r="N8" s="10" t="s">
        <v>62</v>
      </c>
      <c r="O8" s="10">
        <v>4700</v>
      </c>
      <c r="P8" s="10">
        <f t="shared" si="2"/>
        <v>1200</v>
      </c>
      <c r="Q8" s="10">
        <f t="shared" si="0"/>
        <v>5900</v>
      </c>
      <c r="V8">
        <v>3500</v>
      </c>
      <c r="W8">
        <v>3500</v>
      </c>
    </row>
    <row r="9" spans="1:23" x14ac:dyDescent="0.3">
      <c r="A9" s="10">
        <v>9</v>
      </c>
      <c r="B9" s="10" t="s">
        <v>56</v>
      </c>
      <c r="C9" s="10" t="s">
        <v>44</v>
      </c>
      <c r="D9" s="10" t="s">
        <v>53</v>
      </c>
      <c r="E9" s="10"/>
      <c r="F9" s="10" t="s">
        <v>60</v>
      </c>
      <c r="G9" s="33"/>
      <c r="H9" s="33"/>
      <c r="I9" s="34" t="s">
        <v>63</v>
      </c>
      <c r="J9" s="10" t="s">
        <v>63</v>
      </c>
      <c r="K9" s="10">
        <v>3500</v>
      </c>
      <c r="L9" s="10">
        <v>1200</v>
      </c>
      <c r="M9" s="10">
        <f t="shared" si="1"/>
        <v>4700</v>
      </c>
      <c r="N9" s="10" t="s">
        <v>62</v>
      </c>
      <c r="O9" s="10">
        <v>4200</v>
      </c>
      <c r="P9" s="10">
        <f t="shared" si="2"/>
        <v>1200</v>
      </c>
      <c r="Q9" s="10">
        <f t="shared" si="0"/>
        <v>5400</v>
      </c>
      <c r="V9">
        <v>3800</v>
      </c>
      <c r="W9">
        <v>3000</v>
      </c>
    </row>
    <row r="10" spans="1:23" x14ac:dyDescent="0.3">
      <c r="A10" s="10">
        <v>7</v>
      </c>
      <c r="B10" s="10" t="s">
        <v>56</v>
      </c>
      <c r="C10" s="10" t="s">
        <v>64</v>
      </c>
      <c r="D10" s="10" t="s">
        <v>65</v>
      </c>
      <c r="E10" s="10"/>
      <c r="F10" s="10" t="s">
        <v>66</v>
      </c>
      <c r="G10" s="33"/>
      <c r="H10" s="33"/>
      <c r="I10" s="34" t="s">
        <v>63</v>
      </c>
      <c r="J10" s="10" t="s">
        <v>63</v>
      </c>
      <c r="K10" s="10">
        <v>3500</v>
      </c>
      <c r="L10" s="10">
        <v>1200</v>
      </c>
      <c r="M10" s="10">
        <f t="shared" si="1"/>
        <v>4700</v>
      </c>
      <c r="N10" s="10" t="s">
        <v>62</v>
      </c>
      <c r="O10" s="10">
        <v>3750</v>
      </c>
      <c r="P10" s="10">
        <f t="shared" si="2"/>
        <v>1200</v>
      </c>
      <c r="Q10" s="10">
        <f t="shared" si="0"/>
        <v>4950</v>
      </c>
      <c r="V10">
        <v>4000</v>
      </c>
      <c r="W10">
        <v>3000</v>
      </c>
    </row>
    <row r="11" spans="1:23" x14ac:dyDescent="0.3">
      <c r="A11" s="10">
        <v>8</v>
      </c>
      <c r="B11" s="10" t="s">
        <v>56</v>
      </c>
      <c r="C11" s="10" t="s">
        <v>65</v>
      </c>
      <c r="D11" s="10" t="s">
        <v>53</v>
      </c>
      <c r="E11" s="10"/>
      <c r="F11" s="10" t="s">
        <v>66</v>
      </c>
      <c r="G11" s="33"/>
      <c r="H11" s="33"/>
      <c r="I11" s="34" t="s">
        <v>63</v>
      </c>
      <c r="J11" s="10" t="s">
        <v>63</v>
      </c>
      <c r="K11" s="10">
        <v>2900</v>
      </c>
      <c r="L11" s="10">
        <v>1200</v>
      </c>
      <c r="M11" s="10">
        <f t="shared" si="1"/>
        <v>4100</v>
      </c>
      <c r="N11" s="10" t="s">
        <v>62</v>
      </c>
      <c r="O11" s="10">
        <v>2300</v>
      </c>
      <c r="P11" s="10">
        <f t="shared" si="2"/>
        <v>1200</v>
      </c>
      <c r="Q11" s="10">
        <f t="shared" si="0"/>
        <v>3500</v>
      </c>
      <c r="V11">
        <v>4300</v>
      </c>
      <c r="W11">
        <v>3500</v>
      </c>
    </row>
    <row r="12" spans="1:23" x14ac:dyDescent="0.3">
      <c r="A12" s="10">
        <v>10</v>
      </c>
      <c r="B12" s="10" t="s">
        <v>67</v>
      </c>
      <c r="C12" s="10" t="s">
        <v>43</v>
      </c>
      <c r="D12" s="10" t="s">
        <v>44</v>
      </c>
      <c r="E12" s="10">
        <v>344</v>
      </c>
      <c r="F12" s="10" t="s">
        <v>57</v>
      </c>
      <c r="G12" s="33">
        <v>4914.46</v>
      </c>
      <c r="H12" s="33">
        <v>3493.19</v>
      </c>
      <c r="I12" s="34" t="s">
        <v>68</v>
      </c>
      <c r="J12" s="10" t="s">
        <v>47</v>
      </c>
      <c r="K12" s="10">
        <v>7500</v>
      </c>
      <c r="L12" s="10">
        <v>3600</v>
      </c>
      <c r="M12" s="10">
        <f t="shared" si="1"/>
        <v>11100</v>
      </c>
      <c r="N12" s="10" t="s">
        <v>69</v>
      </c>
      <c r="O12" s="10">
        <f>5000*2</f>
        <v>10000</v>
      </c>
      <c r="P12" s="10">
        <f t="shared" si="2"/>
        <v>3600</v>
      </c>
      <c r="Q12" s="10">
        <f t="shared" si="0"/>
        <v>13600</v>
      </c>
      <c r="R12" t="s">
        <v>49</v>
      </c>
      <c r="V12">
        <v>5500</v>
      </c>
      <c r="W12">
        <v>5000</v>
      </c>
    </row>
    <row r="13" spans="1:23" x14ac:dyDescent="0.3">
      <c r="A13" s="10">
        <v>11</v>
      </c>
      <c r="B13" s="10" t="s">
        <v>70</v>
      </c>
      <c r="C13" s="10" t="s">
        <v>71</v>
      </c>
      <c r="D13" s="10" t="s">
        <v>44</v>
      </c>
      <c r="E13" s="10">
        <v>340</v>
      </c>
      <c r="F13" s="10" t="s">
        <v>57</v>
      </c>
      <c r="G13" s="33">
        <v>6258.7</v>
      </c>
      <c r="H13" s="33">
        <v>7693.7</v>
      </c>
      <c r="I13" s="34" t="s">
        <v>72</v>
      </c>
      <c r="J13" s="10" t="s">
        <v>73</v>
      </c>
      <c r="K13" s="10">
        <v>8500</v>
      </c>
      <c r="L13" s="10">
        <f>1200*4</f>
        <v>4800</v>
      </c>
      <c r="M13" s="10">
        <f t="shared" si="1"/>
        <v>13300</v>
      </c>
      <c r="N13" s="10" t="s">
        <v>74</v>
      </c>
      <c r="O13" s="10">
        <f>5000*3</f>
        <v>15000</v>
      </c>
      <c r="P13" s="10">
        <f t="shared" si="2"/>
        <v>4800</v>
      </c>
      <c r="Q13" s="10">
        <f t="shared" si="0"/>
        <v>19800</v>
      </c>
      <c r="R13" t="s">
        <v>49</v>
      </c>
      <c r="V13">
        <v>5500</v>
      </c>
      <c r="W13">
        <v>5000</v>
      </c>
    </row>
    <row r="14" spans="1:23" x14ac:dyDescent="0.3">
      <c r="A14" s="10">
        <v>12</v>
      </c>
      <c r="B14" s="10" t="s">
        <v>70</v>
      </c>
      <c r="C14" s="10" t="s">
        <v>53</v>
      </c>
      <c r="D14" s="10" t="s">
        <v>44</v>
      </c>
      <c r="E14" s="10"/>
      <c r="F14" s="10" t="s">
        <v>60</v>
      </c>
      <c r="G14" s="33"/>
      <c r="H14" s="33"/>
      <c r="I14" s="34" t="s">
        <v>63</v>
      </c>
      <c r="J14" s="10" t="s">
        <v>63</v>
      </c>
      <c r="K14" s="10">
        <v>3500</v>
      </c>
      <c r="L14" s="10">
        <v>1200</v>
      </c>
      <c r="M14" s="10">
        <f t="shared" si="1"/>
        <v>4700</v>
      </c>
      <c r="N14" s="10" t="s">
        <v>62</v>
      </c>
      <c r="O14" s="10">
        <v>2800</v>
      </c>
      <c r="P14" s="10">
        <f t="shared" si="2"/>
        <v>1200</v>
      </c>
      <c r="Q14" s="10">
        <f t="shared" si="0"/>
        <v>4000</v>
      </c>
      <c r="V14">
        <v>2800</v>
      </c>
      <c r="W14">
        <v>2500</v>
      </c>
    </row>
    <row r="15" spans="1:23" x14ac:dyDescent="0.3">
      <c r="A15" s="10">
        <v>13</v>
      </c>
      <c r="B15" s="10" t="s">
        <v>75</v>
      </c>
      <c r="C15" s="10" t="s">
        <v>43</v>
      </c>
      <c r="D15" s="10" t="s">
        <v>44</v>
      </c>
      <c r="E15" s="10">
        <v>374</v>
      </c>
      <c r="F15" s="10" t="s">
        <v>57</v>
      </c>
      <c r="G15" s="33">
        <v>6615.7</v>
      </c>
      <c r="H15" s="33">
        <v>4741</v>
      </c>
      <c r="I15" s="34" t="s">
        <v>76</v>
      </c>
      <c r="J15" s="10" t="s">
        <v>73</v>
      </c>
      <c r="K15" s="10">
        <v>8500</v>
      </c>
      <c r="L15" s="10">
        <v>3600</v>
      </c>
      <c r="M15" s="10">
        <f t="shared" si="1"/>
        <v>12100</v>
      </c>
      <c r="N15" s="10" t="s">
        <v>69</v>
      </c>
      <c r="O15" s="10">
        <f>5000*3</f>
        <v>15000</v>
      </c>
      <c r="P15" s="10">
        <f t="shared" si="2"/>
        <v>3600</v>
      </c>
      <c r="Q15" s="10">
        <f t="shared" si="0"/>
        <v>18600</v>
      </c>
      <c r="R15" t="s">
        <v>49</v>
      </c>
      <c r="V15">
        <v>5500</v>
      </c>
      <c r="W15">
        <v>5000</v>
      </c>
    </row>
    <row r="16" spans="1:23" x14ac:dyDescent="0.3">
      <c r="A16" s="10">
        <v>14</v>
      </c>
      <c r="B16" s="10" t="s">
        <v>75</v>
      </c>
      <c r="C16" s="10" t="s">
        <v>43</v>
      </c>
      <c r="D16" s="10" t="s">
        <v>44</v>
      </c>
      <c r="E16" s="10">
        <v>375</v>
      </c>
      <c r="F16" s="10" t="s">
        <v>77</v>
      </c>
      <c r="G16" s="33">
        <v>6615.7</v>
      </c>
      <c r="H16" s="33">
        <v>4741</v>
      </c>
      <c r="I16" s="34" t="s">
        <v>47</v>
      </c>
      <c r="J16" s="10" t="s">
        <v>47</v>
      </c>
      <c r="K16" s="10">
        <v>7500</v>
      </c>
      <c r="L16" s="10">
        <v>3600</v>
      </c>
      <c r="M16" s="10">
        <f t="shared" si="1"/>
        <v>11100</v>
      </c>
      <c r="N16" s="10" t="s">
        <v>69</v>
      </c>
      <c r="O16" s="10">
        <f t="shared" ref="O16:O18" si="3">5000*2</f>
        <v>10000</v>
      </c>
      <c r="P16" s="10">
        <f t="shared" si="2"/>
        <v>3600</v>
      </c>
      <c r="Q16" s="10">
        <f t="shared" si="0"/>
        <v>13600</v>
      </c>
      <c r="R16" t="s">
        <v>49</v>
      </c>
      <c r="V16">
        <v>5500</v>
      </c>
      <c r="W16">
        <v>5000</v>
      </c>
    </row>
    <row r="17" spans="1:23" x14ac:dyDescent="0.3">
      <c r="A17" s="10">
        <v>15</v>
      </c>
      <c r="B17" s="10" t="s">
        <v>78</v>
      </c>
      <c r="C17" s="10" t="s">
        <v>43</v>
      </c>
      <c r="D17" s="10" t="s">
        <v>44</v>
      </c>
      <c r="E17" s="10">
        <v>366</v>
      </c>
      <c r="F17" s="10" t="s">
        <v>57</v>
      </c>
      <c r="G17" s="33">
        <v>6198.3</v>
      </c>
      <c r="H17" s="33"/>
      <c r="I17" s="34" t="s">
        <v>58</v>
      </c>
      <c r="J17" s="10" t="s">
        <v>47</v>
      </c>
      <c r="K17" s="10">
        <v>7500</v>
      </c>
      <c r="L17" s="10">
        <v>3600</v>
      </c>
      <c r="M17" s="10">
        <f t="shared" si="1"/>
        <v>11100</v>
      </c>
      <c r="N17" s="10" t="s">
        <v>69</v>
      </c>
      <c r="O17" s="10">
        <f t="shared" si="3"/>
        <v>10000</v>
      </c>
      <c r="P17" s="10">
        <f t="shared" si="2"/>
        <v>3600</v>
      </c>
      <c r="Q17" s="10">
        <f t="shared" si="0"/>
        <v>13600</v>
      </c>
      <c r="R17" t="s">
        <v>49</v>
      </c>
      <c r="V17">
        <v>5500</v>
      </c>
      <c r="W17">
        <v>5000</v>
      </c>
    </row>
    <row r="18" spans="1:23" x14ac:dyDescent="0.3">
      <c r="A18" s="10">
        <v>16</v>
      </c>
      <c r="B18" s="10" t="s">
        <v>78</v>
      </c>
      <c r="C18" s="10" t="s">
        <v>43</v>
      </c>
      <c r="D18" s="10" t="s">
        <v>44</v>
      </c>
      <c r="E18" s="10">
        <v>367</v>
      </c>
      <c r="F18" s="10" t="s">
        <v>77</v>
      </c>
      <c r="G18" s="33">
        <v>6198.3</v>
      </c>
      <c r="H18" s="33">
        <v>7868.1</v>
      </c>
      <c r="I18" s="34" t="s">
        <v>47</v>
      </c>
      <c r="J18" s="10" t="s">
        <v>47</v>
      </c>
      <c r="K18" s="10">
        <v>7500</v>
      </c>
      <c r="L18" s="10">
        <v>3600</v>
      </c>
      <c r="M18" s="10">
        <f t="shared" si="1"/>
        <v>11100</v>
      </c>
      <c r="N18" s="10" t="s">
        <v>69</v>
      </c>
      <c r="O18" s="10">
        <f t="shared" si="3"/>
        <v>10000</v>
      </c>
      <c r="P18" s="10">
        <f t="shared" si="2"/>
        <v>3600</v>
      </c>
      <c r="Q18" s="10">
        <f t="shared" si="0"/>
        <v>13600</v>
      </c>
      <c r="R18" t="s">
        <v>49</v>
      </c>
      <c r="V18">
        <v>5500</v>
      </c>
      <c r="W18">
        <v>5000</v>
      </c>
    </row>
    <row r="19" spans="1:23" x14ac:dyDescent="0.3">
      <c r="A19" s="10">
        <v>17</v>
      </c>
      <c r="B19" s="10" t="s">
        <v>78</v>
      </c>
      <c r="C19" s="10" t="s">
        <v>71</v>
      </c>
      <c r="D19" s="10" t="s">
        <v>44</v>
      </c>
      <c r="E19" s="10">
        <v>199</v>
      </c>
      <c r="F19" s="10" t="s">
        <v>79</v>
      </c>
      <c r="G19" s="33">
        <v>4330.24</v>
      </c>
      <c r="H19" s="33">
        <v>3330.52</v>
      </c>
      <c r="I19" s="34" t="s">
        <v>80</v>
      </c>
      <c r="J19" s="10" t="s">
        <v>47</v>
      </c>
      <c r="K19" s="10">
        <v>7500</v>
      </c>
      <c r="L19" s="10">
        <v>2400</v>
      </c>
      <c r="M19" s="10">
        <f t="shared" si="1"/>
        <v>9900</v>
      </c>
      <c r="N19" s="10" t="s">
        <v>81</v>
      </c>
      <c r="O19" s="10">
        <f>5000+4000</f>
        <v>9000</v>
      </c>
      <c r="P19" s="10">
        <f t="shared" si="2"/>
        <v>2400</v>
      </c>
      <c r="Q19" s="10">
        <f t="shared" si="0"/>
        <v>11400</v>
      </c>
      <c r="R19" t="s">
        <v>49</v>
      </c>
      <c r="V19">
        <v>5500</v>
      </c>
      <c r="W19">
        <v>5000</v>
      </c>
    </row>
    <row r="20" spans="1:23" x14ac:dyDescent="0.3">
      <c r="A20" s="10">
        <v>18</v>
      </c>
      <c r="B20" s="10" t="s">
        <v>78</v>
      </c>
      <c r="C20" s="10" t="s">
        <v>65</v>
      </c>
      <c r="D20" s="10" t="s">
        <v>44</v>
      </c>
      <c r="E20" s="10"/>
      <c r="F20" s="10" t="s">
        <v>66</v>
      </c>
      <c r="G20" s="33"/>
      <c r="H20" s="33"/>
      <c r="I20" s="34" t="s">
        <v>61</v>
      </c>
      <c r="J20" s="10" t="s">
        <v>55</v>
      </c>
      <c r="K20" s="10">
        <v>5600</v>
      </c>
      <c r="L20" s="10">
        <v>1200</v>
      </c>
      <c r="M20" s="10">
        <f t="shared" si="1"/>
        <v>6800</v>
      </c>
      <c r="N20" s="10" t="s">
        <v>82</v>
      </c>
      <c r="O20" s="10">
        <v>4700</v>
      </c>
      <c r="P20" s="10">
        <f t="shared" si="2"/>
        <v>1200</v>
      </c>
      <c r="Q20" s="10">
        <f t="shared" si="0"/>
        <v>5900</v>
      </c>
      <c r="V20">
        <v>4000</v>
      </c>
      <c r="W20">
        <v>3500</v>
      </c>
    </row>
    <row r="21" spans="1:23" x14ac:dyDescent="0.3">
      <c r="A21" s="10">
        <v>19</v>
      </c>
      <c r="B21" s="10" t="s">
        <v>84</v>
      </c>
      <c r="C21" s="10" t="s">
        <v>43</v>
      </c>
      <c r="D21" s="10" t="s">
        <v>44</v>
      </c>
      <c r="E21" s="10"/>
      <c r="F21" s="10" t="s">
        <v>57</v>
      </c>
      <c r="G21" s="33">
        <v>6153</v>
      </c>
      <c r="H21" s="33">
        <v>4890</v>
      </c>
      <c r="I21" s="34" t="s">
        <v>83</v>
      </c>
      <c r="J21" s="10" t="s">
        <v>47</v>
      </c>
      <c r="K21" s="10">
        <v>7500</v>
      </c>
      <c r="L21" s="10">
        <f>1200*3</f>
        <v>3600</v>
      </c>
      <c r="M21" s="10">
        <f t="shared" si="1"/>
        <v>11100</v>
      </c>
      <c r="N21" s="10" t="s">
        <v>69</v>
      </c>
      <c r="O21" s="10">
        <f t="shared" ref="O21" si="4">5000*2</f>
        <v>10000</v>
      </c>
      <c r="P21" s="10">
        <f t="shared" ref="P21:P23" si="5">L21</f>
        <v>3600</v>
      </c>
      <c r="Q21" s="10">
        <f t="shared" ref="Q21:Q23" si="6">+P21+O21</f>
        <v>13600</v>
      </c>
      <c r="V21">
        <v>5500</v>
      </c>
      <c r="W21">
        <v>5000</v>
      </c>
    </row>
    <row r="22" spans="1:23" x14ac:dyDescent="0.3">
      <c r="A22" s="10">
        <v>20</v>
      </c>
      <c r="B22" s="10" t="s">
        <v>85</v>
      </c>
      <c r="C22" s="10" t="s">
        <v>86</v>
      </c>
      <c r="D22" s="10" t="s">
        <v>71</v>
      </c>
      <c r="E22" s="10"/>
      <c r="F22" s="10" t="s">
        <v>57</v>
      </c>
      <c r="G22" s="33">
        <f>6081.5+3000</f>
        <v>9081.5</v>
      </c>
      <c r="H22" s="33">
        <f>2535*2</f>
        <v>5070</v>
      </c>
      <c r="I22" s="34" t="s">
        <v>73</v>
      </c>
      <c r="J22" s="10" t="s">
        <v>73</v>
      </c>
      <c r="K22" s="10">
        <v>8500</v>
      </c>
      <c r="L22" s="10">
        <f>1200*4</f>
        <v>4800</v>
      </c>
      <c r="M22" s="10">
        <f t="shared" si="1"/>
        <v>13300</v>
      </c>
      <c r="N22" s="10" t="s">
        <v>74</v>
      </c>
      <c r="O22" s="10">
        <v>15000</v>
      </c>
      <c r="P22" s="10">
        <f t="shared" si="5"/>
        <v>4800</v>
      </c>
      <c r="Q22" s="10">
        <f t="shared" si="6"/>
        <v>19800</v>
      </c>
      <c r="V22">
        <v>5000</v>
      </c>
      <c r="W22">
        <v>4500</v>
      </c>
    </row>
    <row r="23" spans="1:23" x14ac:dyDescent="0.3">
      <c r="A23" s="10">
        <v>21</v>
      </c>
      <c r="B23" s="10" t="s">
        <v>85</v>
      </c>
      <c r="C23" s="10" t="s">
        <v>86</v>
      </c>
      <c r="D23" s="10" t="s">
        <v>71</v>
      </c>
      <c r="E23" s="10"/>
      <c r="F23" s="10" t="s">
        <v>60</v>
      </c>
      <c r="G23" s="33">
        <v>3000</v>
      </c>
      <c r="H23" s="33"/>
      <c r="I23" s="34" t="s">
        <v>55</v>
      </c>
      <c r="J23" s="10" t="s">
        <v>55</v>
      </c>
      <c r="K23" s="10">
        <v>5000</v>
      </c>
      <c r="L23" s="10">
        <f>1200*2</f>
        <v>2400</v>
      </c>
      <c r="M23" s="10">
        <f t="shared" si="1"/>
        <v>7400</v>
      </c>
      <c r="N23" s="10" t="s">
        <v>81</v>
      </c>
      <c r="O23" s="10">
        <v>5000</v>
      </c>
      <c r="P23" s="10">
        <f t="shared" si="5"/>
        <v>2400</v>
      </c>
      <c r="Q23" s="10">
        <f t="shared" si="6"/>
        <v>7400</v>
      </c>
      <c r="V23">
        <v>3000</v>
      </c>
      <c r="W23">
        <v>3000</v>
      </c>
    </row>
    <row r="24" spans="1:23" x14ac:dyDescent="0.3">
      <c r="J24" s="28" t="s">
        <v>41</v>
      </c>
      <c r="K24" s="9">
        <f>SUM(K3:K23)</f>
        <v>134600</v>
      </c>
      <c r="L24" s="9">
        <f>SUM(L3:L23)</f>
        <v>58800</v>
      </c>
      <c r="M24" s="9">
        <f>SUM(M3:M23)</f>
        <v>193400</v>
      </c>
      <c r="O24" s="9">
        <f>SUM(O3:O23)</f>
        <v>170650</v>
      </c>
      <c r="P24" s="9">
        <f>SUM(P3:P23)</f>
        <v>58800</v>
      </c>
      <c r="Q24" s="9">
        <f>SUM(Q3:Q23)</f>
        <v>229450</v>
      </c>
      <c r="V24">
        <f>SUM(V3:V23)</f>
        <v>91400</v>
      </c>
      <c r="W24">
        <f>SUM(W5:W23)</f>
        <v>81500</v>
      </c>
    </row>
    <row r="25" spans="1:23" x14ac:dyDescent="0.3">
      <c r="K25" s="11">
        <v>78000</v>
      </c>
      <c r="L25">
        <f>+K24*10%</f>
        <v>13460</v>
      </c>
      <c r="Q25">
        <f>Q24-M24</f>
        <v>36050</v>
      </c>
    </row>
    <row r="26" spans="1:23" x14ac:dyDescent="0.3">
      <c r="K26">
        <f>+K25+L25</f>
        <v>91460</v>
      </c>
      <c r="L26">
        <f>+K24-K26</f>
        <v>43140</v>
      </c>
      <c r="Q26" s="36">
        <f>+Q25/Q24</f>
        <v>0.15711483983438657</v>
      </c>
    </row>
    <row r="27" spans="1:23" x14ac:dyDescent="0.3">
      <c r="A27" s="8" t="s">
        <v>105</v>
      </c>
      <c r="O27" s="36"/>
      <c r="Q27" s="36"/>
    </row>
    <row r="28" spans="1:23" ht="28.8" x14ac:dyDescent="0.3">
      <c r="A28" s="26" t="s">
        <v>25</v>
      </c>
      <c r="B28" s="26" t="s">
        <v>26</v>
      </c>
      <c r="C28" s="26" t="s">
        <v>27</v>
      </c>
      <c r="D28" s="26" t="s">
        <v>28</v>
      </c>
      <c r="E28" s="27" t="s">
        <v>29</v>
      </c>
      <c r="F28" s="26" t="s">
        <v>30</v>
      </c>
      <c r="G28" s="32" t="s">
        <v>31</v>
      </c>
      <c r="H28" s="32" t="s">
        <v>32</v>
      </c>
      <c r="I28" s="32" t="s">
        <v>33</v>
      </c>
      <c r="J28" s="27" t="s">
        <v>34</v>
      </c>
      <c r="K28" s="26" t="s">
        <v>35</v>
      </c>
      <c r="L28" s="26" t="s">
        <v>36</v>
      </c>
      <c r="M28" s="27" t="s">
        <v>37</v>
      </c>
      <c r="O28" s="27" t="s">
        <v>39</v>
      </c>
      <c r="P28" s="27" t="s">
        <v>40</v>
      </c>
      <c r="Q28" s="26" t="s">
        <v>41</v>
      </c>
    </row>
    <row r="29" spans="1:23" x14ac:dyDescent="0.3">
      <c r="A29" s="10">
        <v>1</v>
      </c>
      <c r="B29" s="10" t="s">
        <v>89</v>
      </c>
      <c r="C29" s="10" t="s">
        <v>43</v>
      </c>
      <c r="D29" s="10" t="s">
        <v>44</v>
      </c>
      <c r="E29" s="10"/>
      <c r="F29" s="10" t="s">
        <v>57</v>
      </c>
      <c r="G29" s="33"/>
      <c r="H29" s="33"/>
      <c r="I29" s="34" t="s">
        <v>90</v>
      </c>
      <c r="J29" s="10" t="s">
        <v>47</v>
      </c>
      <c r="K29" s="10">
        <v>7500</v>
      </c>
      <c r="L29" s="10">
        <v>3600</v>
      </c>
      <c r="M29" s="10">
        <f>+L29+K29</f>
        <v>11100</v>
      </c>
      <c r="O29" s="10">
        <f>5000*2</f>
        <v>10000</v>
      </c>
      <c r="P29" s="10">
        <v>3600</v>
      </c>
      <c r="Q29" s="10">
        <f>+P29+O29</f>
        <v>13600</v>
      </c>
      <c r="V29">
        <v>5500</v>
      </c>
    </row>
    <row r="30" spans="1:23" x14ac:dyDescent="0.3">
      <c r="A30" s="10">
        <v>2</v>
      </c>
      <c r="B30" s="10" t="s">
        <v>89</v>
      </c>
      <c r="C30" s="10" t="s">
        <v>44</v>
      </c>
      <c r="D30" s="10" t="s">
        <v>53</v>
      </c>
      <c r="E30" s="10"/>
      <c r="F30" s="10" t="s">
        <v>77</v>
      </c>
      <c r="G30" s="33"/>
      <c r="H30" s="33"/>
      <c r="I30" s="34" t="s">
        <v>46</v>
      </c>
      <c r="J30" s="10" t="s">
        <v>47</v>
      </c>
      <c r="K30" s="10">
        <v>5900</v>
      </c>
      <c r="L30" s="10">
        <v>3600</v>
      </c>
      <c r="M30" s="10">
        <f t="shared" ref="M30:M52" si="7">+L30+K30</f>
        <v>9500</v>
      </c>
      <c r="O30" s="10">
        <f>5000*2</f>
        <v>10000</v>
      </c>
      <c r="P30" s="10">
        <v>3600</v>
      </c>
      <c r="Q30" s="10">
        <f t="shared" ref="Q30:Q52" si="8">+P30+O30</f>
        <v>13600</v>
      </c>
      <c r="V30">
        <v>6000</v>
      </c>
    </row>
    <row r="31" spans="1:23" x14ac:dyDescent="0.3">
      <c r="A31" s="10">
        <v>3</v>
      </c>
      <c r="B31" s="10" t="s">
        <v>91</v>
      </c>
      <c r="C31" s="10" t="s">
        <v>86</v>
      </c>
      <c r="D31" s="10" t="s">
        <v>71</v>
      </c>
      <c r="E31" s="10"/>
      <c r="F31" s="10" t="s">
        <v>57</v>
      </c>
      <c r="G31" s="33"/>
      <c r="H31" s="33"/>
      <c r="I31" s="34" t="s">
        <v>73</v>
      </c>
      <c r="J31" s="10" t="s">
        <v>73</v>
      </c>
      <c r="K31" s="10">
        <v>8500</v>
      </c>
      <c r="L31" s="10">
        <v>4800</v>
      </c>
      <c r="M31" s="10">
        <f t="shared" si="7"/>
        <v>13300</v>
      </c>
      <c r="O31" s="10">
        <f>5000*3</f>
        <v>15000</v>
      </c>
      <c r="P31" s="10">
        <v>4800</v>
      </c>
      <c r="Q31" s="10">
        <f t="shared" si="8"/>
        <v>19800</v>
      </c>
      <c r="V31">
        <v>5000</v>
      </c>
    </row>
    <row r="32" spans="1:23" x14ac:dyDescent="0.3">
      <c r="A32" s="10">
        <v>4</v>
      </c>
      <c r="B32" s="10" t="s">
        <v>91</v>
      </c>
      <c r="C32" s="10" t="s">
        <v>86</v>
      </c>
      <c r="D32" s="10" t="s">
        <v>71</v>
      </c>
      <c r="E32" s="10"/>
      <c r="F32" s="10" t="s">
        <v>60</v>
      </c>
      <c r="G32" s="33"/>
      <c r="H32" s="33"/>
      <c r="I32" s="34" t="s">
        <v>55</v>
      </c>
      <c r="J32" s="10" t="s">
        <v>55</v>
      </c>
      <c r="K32" s="10">
        <v>5000</v>
      </c>
      <c r="L32" s="10">
        <v>2400</v>
      </c>
      <c r="M32" s="10">
        <f t="shared" si="7"/>
        <v>7400</v>
      </c>
      <c r="O32" s="10">
        <v>5000</v>
      </c>
      <c r="P32" s="10">
        <v>2400</v>
      </c>
      <c r="Q32" s="10">
        <f t="shared" si="8"/>
        <v>7400</v>
      </c>
      <c r="V32">
        <v>3000</v>
      </c>
    </row>
    <row r="33" spans="1:22" x14ac:dyDescent="0.3">
      <c r="A33" s="10">
        <v>5</v>
      </c>
      <c r="B33" s="10" t="s">
        <v>91</v>
      </c>
      <c r="C33" s="10" t="s">
        <v>71</v>
      </c>
      <c r="D33" s="10" t="s">
        <v>44</v>
      </c>
      <c r="E33" s="10"/>
      <c r="F33" s="10" t="s">
        <v>77</v>
      </c>
      <c r="G33" s="33"/>
      <c r="H33" s="33"/>
      <c r="I33" s="34" t="s">
        <v>90</v>
      </c>
      <c r="J33" s="10" t="s">
        <v>47</v>
      </c>
      <c r="K33" s="10">
        <v>7500</v>
      </c>
      <c r="L33" s="10">
        <v>3600</v>
      </c>
      <c r="M33" s="10">
        <f t="shared" si="7"/>
        <v>11100</v>
      </c>
      <c r="O33" s="10">
        <f>5000*2</f>
        <v>10000</v>
      </c>
      <c r="P33" s="10">
        <v>3600</v>
      </c>
      <c r="Q33" s="10">
        <f t="shared" si="8"/>
        <v>13600</v>
      </c>
      <c r="V33">
        <v>5000</v>
      </c>
    </row>
    <row r="34" spans="1:22" x14ac:dyDescent="0.3">
      <c r="A34" s="10">
        <v>6</v>
      </c>
      <c r="B34" s="10" t="s">
        <v>91</v>
      </c>
      <c r="C34" s="10" t="s">
        <v>71</v>
      </c>
      <c r="D34" s="10" t="s">
        <v>44</v>
      </c>
      <c r="E34" s="10"/>
      <c r="F34" s="10" t="s">
        <v>92</v>
      </c>
      <c r="G34" s="33"/>
      <c r="H34" s="33"/>
      <c r="I34" s="34" t="s">
        <v>90</v>
      </c>
      <c r="J34" s="10" t="s">
        <v>47</v>
      </c>
      <c r="K34" s="10">
        <v>7500</v>
      </c>
      <c r="L34" s="10">
        <v>3600</v>
      </c>
      <c r="M34" s="10">
        <f t="shared" si="7"/>
        <v>11100</v>
      </c>
      <c r="O34" s="10">
        <f>5000*2</f>
        <v>10000</v>
      </c>
      <c r="P34" s="10">
        <v>3600</v>
      </c>
      <c r="Q34" s="10">
        <f t="shared" si="8"/>
        <v>13600</v>
      </c>
      <c r="V34">
        <v>5000</v>
      </c>
    </row>
    <row r="35" spans="1:22" x14ac:dyDescent="0.3">
      <c r="A35" s="10">
        <v>9</v>
      </c>
      <c r="B35" s="10" t="s">
        <v>93</v>
      </c>
      <c r="C35" s="10" t="s">
        <v>86</v>
      </c>
      <c r="D35" s="10" t="s">
        <v>71</v>
      </c>
      <c r="E35" s="10"/>
      <c r="F35" s="10" t="s">
        <v>57</v>
      </c>
      <c r="G35" s="33"/>
      <c r="H35" s="33"/>
      <c r="I35" s="34" t="s">
        <v>73</v>
      </c>
      <c r="J35" s="10" t="s">
        <v>73</v>
      </c>
      <c r="K35" s="10">
        <v>8500</v>
      </c>
      <c r="L35" s="10">
        <v>4800</v>
      </c>
      <c r="M35" s="10">
        <f t="shared" si="7"/>
        <v>13300</v>
      </c>
      <c r="O35" s="10">
        <f>5000*3</f>
        <v>15000</v>
      </c>
      <c r="P35" s="10">
        <v>4800</v>
      </c>
      <c r="Q35" s="10">
        <f t="shared" si="8"/>
        <v>19800</v>
      </c>
      <c r="V35">
        <v>5000</v>
      </c>
    </row>
    <row r="36" spans="1:22" x14ac:dyDescent="0.3">
      <c r="A36" s="10">
        <v>7</v>
      </c>
      <c r="B36" s="10" t="s">
        <v>93</v>
      </c>
      <c r="C36" s="10" t="s">
        <v>86</v>
      </c>
      <c r="D36" s="10" t="s">
        <v>71</v>
      </c>
      <c r="E36" s="10"/>
      <c r="F36" s="10" t="s">
        <v>60</v>
      </c>
      <c r="G36" s="33"/>
      <c r="H36" s="33"/>
      <c r="I36" s="34" t="s">
        <v>55</v>
      </c>
      <c r="J36" s="10" t="s">
        <v>55</v>
      </c>
      <c r="K36" s="10">
        <v>5000</v>
      </c>
      <c r="L36" s="10">
        <v>2400</v>
      </c>
      <c r="M36" s="10">
        <f t="shared" si="7"/>
        <v>7400</v>
      </c>
      <c r="O36" s="10">
        <v>5000</v>
      </c>
      <c r="P36" s="10">
        <v>2400</v>
      </c>
      <c r="Q36" s="10">
        <f t="shared" si="8"/>
        <v>7400</v>
      </c>
      <c r="V36">
        <v>3000</v>
      </c>
    </row>
    <row r="37" spans="1:22" x14ac:dyDescent="0.3">
      <c r="A37" s="10">
        <v>8</v>
      </c>
      <c r="B37" s="10" t="s">
        <v>93</v>
      </c>
      <c r="C37" s="10" t="s">
        <v>43</v>
      </c>
      <c r="D37" s="10" t="s">
        <v>44</v>
      </c>
      <c r="E37" s="10"/>
      <c r="F37" s="10" t="s">
        <v>77</v>
      </c>
      <c r="G37" s="33"/>
      <c r="H37" s="33"/>
      <c r="I37" s="34" t="s">
        <v>90</v>
      </c>
      <c r="J37" s="10" t="s">
        <v>47</v>
      </c>
      <c r="K37" s="10">
        <v>7500</v>
      </c>
      <c r="L37" s="10">
        <v>3600</v>
      </c>
      <c r="M37" s="10">
        <f t="shared" si="7"/>
        <v>11100</v>
      </c>
      <c r="O37" s="10">
        <f>5000*2</f>
        <v>10000</v>
      </c>
      <c r="P37" s="10">
        <v>3600</v>
      </c>
      <c r="Q37" s="10">
        <f t="shared" si="8"/>
        <v>13600</v>
      </c>
      <c r="V37">
        <v>5000</v>
      </c>
    </row>
    <row r="38" spans="1:22" x14ac:dyDescent="0.3">
      <c r="A38" s="10">
        <v>10</v>
      </c>
      <c r="B38" s="10" t="s">
        <v>93</v>
      </c>
      <c r="C38" s="10" t="s">
        <v>44</v>
      </c>
      <c r="D38" s="10" t="s">
        <v>53</v>
      </c>
      <c r="E38" s="10"/>
      <c r="F38" s="10" t="s">
        <v>94</v>
      </c>
      <c r="G38" s="33"/>
      <c r="H38" s="33"/>
      <c r="I38" s="34" t="s">
        <v>63</v>
      </c>
      <c r="J38" s="10" t="s">
        <v>63</v>
      </c>
      <c r="K38" s="10">
        <v>3500</v>
      </c>
      <c r="L38" s="10">
        <v>1200</v>
      </c>
      <c r="M38" s="10">
        <f t="shared" si="7"/>
        <v>4700</v>
      </c>
      <c r="O38" s="10">
        <v>2800</v>
      </c>
      <c r="P38" s="10">
        <v>1200</v>
      </c>
      <c r="Q38" s="10">
        <f t="shared" si="8"/>
        <v>4000</v>
      </c>
      <c r="V38">
        <v>3500</v>
      </c>
    </row>
    <row r="39" spans="1:22" x14ac:dyDescent="0.3">
      <c r="A39" s="10">
        <v>11</v>
      </c>
      <c r="B39" s="10" t="s">
        <v>95</v>
      </c>
      <c r="C39" s="10" t="s">
        <v>43</v>
      </c>
      <c r="D39" s="10" t="s">
        <v>44</v>
      </c>
      <c r="E39" s="10"/>
      <c r="F39" s="10" t="s">
        <v>57</v>
      </c>
      <c r="G39" s="33"/>
      <c r="H39" s="33"/>
      <c r="I39" s="34" t="s">
        <v>47</v>
      </c>
      <c r="J39" s="10" t="s">
        <v>47</v>
      </c>
      <c r="K39" s="10">
        <v>7500</v>
      </c>
      <c r="L39" s="10">
        <v>3600</v>
      </c>
      <c r="M39" s="10">
        <f t="shared" si="7"/>
        <v>11100</v>
      </c>
      <c r="O39" s="10">
        <f>5000*2</f>
        <v>10000</v>
      </c>
      <c r="P39" s="10">
        <v>3600</v>
      </c>
      <c r="Q39" s="10">
        <f t="shared" si="8"/>
        <v>13600</v>
      </c>
      <c r="V39">
        <v>5000</v>
      </c>
    </row>
    <row r="40" spans="1:22" x14ac:dyDescent="0.3">
      <c r="A40" s="10">
        <v>12</v>
      </c>
      <c r="B40" s="10" t="s">
        <v>96</v>
      </c>
      <c r="C40" s="10" t="s">
        <v>86</v>
      </c>
      <c r="D40" s="10" t="s">
        <v>71</v>
      </c>
      <c r="E40" s="10"/>
      <c r="F40" s="10" t="s">
        <v>57</v>
      </c>
      <c r="G40" s="33"/>
      <c r="H40" s="33"/>
      <c r="I40" s="34" t="s">
        <v>73</v>
      </c>
      <c r="J40" s="10" t="s">
        <v>73</v>
      </c>
      <c r="K40" s="10">
        <v>8500</v>
      </c>
      <c r="L40" s="10">
        <f>4*1200</f>
        <v>4800</v>
      </c>
      <c r="M40" s="10">
        <f t="shared" si="7"/>
        <v>13300</v>
      </c>
      <c r="O40" s="10">
        <f>5000*3</f>
        <v>15000</v>
      </c>
      <c r="P40" s="10">
        <f>4*1200</f>
        <v>4800</v>
      </c>
      <c r="Q40" s="10">
        <f t="shared" si="8"/>
        <v>19800</v>
      </c>
      <c r="V40">
        <v>5000</v>
      </c>
    </row>
    <row r="41" spans="1:22" x14ac:dyDescent="0.3">
      <c r="A41" s="10">
        <v>13</v>
      </c>
      <c r="B41" s="10" t="s">
        <v>96</v>
      </c>
      <c r="C41" s="10" t="s">
        <v>86</v>
      </c>
      <c r="D41" s="10" t="s">
        <v>71</v>
      </c>
      <c r="E41" s="10"/>
      <c r="F41" s="10" t="s">
        <v>97</v>
      </c>
      <c r="G41" s="33"/>
      <c r="H41" s="33"/>
      <c r="I41" s="34" t="s">
        <v>73</v>
      </c>
      <c r="J41" s="10" t="s">
        <v>73</v>
      </c>
      <c r="K41" s="10">
        <v>8500</v>
      </c>
      <c r="L41" s="10">
        <f>5*1200</f>
        <v>6000</v>
      </c>
      <c r="M41" s="10">
        <f t="shared" si="7"/>
        <v>14500</v>
      </c>
      <c r="O41" s="10">
        <f>5000*3</f>
        <v>15000</v>
      </c>
      <c r="P41" s="10">
        <f>5*1200</f>
        <v>6000</v>
      </c>
      <c r="Q41" s="10">
        <f t="shared" si="8"/>
        <v>21000</v>
      </c>
      <c r="V41">
        <v>5000</v>
      </c>
    </row>
    <row r="42" spans="1:22" x14ac:dyDescent="0.3">
      <c r="A42" s="10">
        <v>14</v>
      </c>
      <c r="B42" s="10" t="s">
        <v>96</v>
      </c>
      <c r="C42" s="10" t="s">
        <v>43</v>
      </c>
      <c r="D42" s="10" t="s">
        <v>44</v>
      </c>
      <c r="E42" s="10"/>
      <c r="F42" s="10" t="s">
        <v>77</v>
      </c>
      <c r="G42" s="33"/>
      <c r="H42" s="33"/>
      <c r="I42" s="34" t="s">
        <v>47</v>
      </c>
      <c r="J42" s="10" t="s">
        <v>47</v>
      </c>
      <c r="K42" s="10">
        <v>8500</v>
      </c>
      <c r="L42" s="10">
        <v>3600</v>
      </c>
      <c r="M42" s="10">
        <f t="shared" si="7"/>
        <v>12100</v>
      </c>
      <c r="O42" s="10">
        <f>5000*2</f>
        <v>10000</v>
      </c>
      <c r="P42" s="10">
        <v>3600</v>
      </c>
      <c r="Q42" s="10">
        <f t="shared" si="8"/>
        <v>13600</v>
      </c>
      <c r="V42">
        <v>5000</v>
      </c>
    </row>
    <row r="43" spans="1:22" x14ac:dyDescent="0.3">
      <c r="A43" s="10">
        <v>15</v>
      </c>
      <c r="B43" s="10" t="s">
        <v>96</v>
      </c>
      <c r="C43" s="10" t="s">
        <v>98</v>
      </c>
      <c r="D43" s="10" t="s">
        <v>44</v>
      </c>
      <c r="E43" s="10"/>
      <c r="F43" s="10" t="s">
        <v>94</v>
      </c>
      <c r="G43" s="33"/>
      <c r="H43" s="33"/>
      <c r="I43" s="34" t="s">
        <v>63</v>
      </c>
      <c r="J43" s="10" t="s">
        <v>63</v>
      </c>
      <c r="K43" s="10">
        <v>3500</v>
      </c>
      <c r="L43" s="10">
        <v>1200</v>
      </c>
      <c r="M43" s="10">
        <f t="shared" si="7"/>
        <v>4700</v>
      </c>
      <c r="O43" s="10">
        <v>3500</v>
      </c>
      <c r="P43" s="10">
        <v>1200</v>
      </c>
      <c r="Q43" s="10">
        <f t="shared" si="8"/>
        <v>4700</v>
      </c>
      <c r="V43">
        <v>3500</v>
      </c>
    </row>
    <row r="44" spans="1:22" x14ac:dyDescent="0.3">
      <c r="A44" s="10">
        <v>16</v>
      </c>
      <c r="B44" s="10" t="s">
        <v>99</v>
      </c>
      <c r="C44" s="10" t="s">
        <v>43</v>
      </c>
      <c r="D44" s="10" t="s">
        <v>44</v>
      </c>
      <c r="E44" s="10"/>
      <c r="F44" s="10" t="s">
        <v>57</v>
      </c>
      <c r="G44" s="33"/>
      <c r="H44" s="33"/>
      <c r="I44" s="34" t="s">
        <v>90</v>
      </c>
      <c r="J44" s="10" t="s">
        <v>47</v>
      </c>
      <c r="K44" s="10">
        <v>7500</v>
      </c>
      <c r="L44" s="10">
        <f>3*1200</f>
        <v>3600</v>
      </c>
      <c r="M44" s="10">
        <f t="shared" si="7"/>
        <v>11100</v>
      </c>
      <c r="O44" s="10">
        <f>5000*2</f>
        <v>10000</v>
      </c>
      <c r="P44" s="10">
        <f>3*1200</f>
        <v>3600</v>
      </c>
      <c r="Q44" s="10">
        <f t="shared" si="8"/>
        <v>13600</v>
      </c>
      <c r="V44">
        <v>5000</v>
      </c>
    </row>
    <row r="45" spans="1:22" x14ac:dyDescent="0.3">
      <c r="A45" s="10">
        <v>17</v>
      </c>
      <c r="B45" s="10" t="s">
        <v>99</v>
      </c>
      <c r="C45" s="10" t="s">
        <v>43</v>
      </c>
      <c r="D45" s="10" t="s">
        <v>44</v>
      </c>
      <c r="E45" s="10"/>
      <c r="F45" s="10" t="s">
        <v>77</v>
      </c>
      <c r="G45" s="33"/>
      <c r="H45" s="33"/>
      <c r="I45" s="34" t="s">
        <v>90</v>
      </c>
      <c r="J45" s="10" t="s">
        <v>47</v>
      </c>
      <c r="K45" s="10">
        <v>7500</v>
      </c>
      <c r="L45" s="10">
        <f>3*1200</f>
        <v>3600</v>
      </c>
      <c r="M45" s="10">
        <f t="shared" si="7"/>
        <v>11100</v>
      </c>
      <c r="O45" s="10">
        <f>5000*2</f>
        <v>10000</v>
      </c>
      <c r="P45" s="10">
        <f>3*1200</f>
        <v>3600</v>
      </c>
      <c r="Q45" s="10">
        <f t="shared" si="8"/>
        <v>13600</v>
      </c>
      <c r="V45">
        <v>5000</v>
      </c>
    </row>
    <row r="46" spans="1:22" x14ac:dyDescent="0.3">
      <c r="A46" s="10">
        <v>18</v>
      </c>
      <c r="B46" s="10" t="s">
        <v>100</v>
      </c>
      <c r="C46" s="10" t="s">
        <v>86</v>
      </c>
      <c r="D46" s="10" t="s">
        <v>71</v>
      </c>
      <c r="E46" s="10"/>
      <c r="F46" s="10" t="s">
        <v>57</v>
      </c>
      <c r="G46" s="33"/>
      <c r="H46" s="33"/>
      <c r="I46" s="34" t="s">
        <v>73</v>
      </c>
      <c r="J46" s="10" t="s">
        <v>73</v>
      </c>
      <c r="K46" s="10">
        <v>8500</v>
      </c>
      <c r="L46" s="10">
        <f>5*1200</f>
        <v>6000</v>
      </c>
      <c r="M46" s="10">
        <f t="shared" si="7"/>
        <v>14500</v>
      </c>
      <c r="O46" s="10">
        <f>5000*3</f>
        <v>15000</v>
      </c>
      <c r="P46" s="10">
        <f>5*1200</f>
        <v>6000</v>
      </c>
      <c r="Q46" s="10">
        <f t="shared" si="8"/>
        <v>21000</v>
      </c>
      <c r="V46">
        <v>5000</v>
      </c>
    </row>
    <row r="47" spans="1:22" x14ac:dyDescent="0.3">
      <c r="A47" s="10">
        <v>19</v>
      </c>
      <c r="B47" s="10" t="s">
        <v>100</v>
      </c>
      <c r="C47" s="10" t="s">
        <v>86</v>
      </c>
      <c r="D47" s="10" t="s">
        <v>71</v>
      </c>
      <c r="E47" s="10"/>
      <c r="F47" s="10" t="s">
        <v>77</v>
      </c>
      <c r="G47" s="33"/>
      <c r="H47" s="33"/>
      <c r="I47" s="34" t="s">
        <v>73</v>
      </c>
      <c r="J47" s="10" t="s">
        <v>73</v>
      </c>
      <c r="K47" s="10">
        <v>8500</v>
      </c>
      <c r="L47" s="10">
        <f>4*1200</f>
        <v>4800</v>
      </c>
      <c r="M47" s="10">
        <f t="shared" si="7"/>
        <v>13300</v>
      </c>
      <c r="O47" s="10">
        <f>5000*3</f>
        <v>15000</v>
      </c>
      <c r="P47" s="10">
        <f>4*1200</f>
        <v>4800</v>
      </c>
      <c r="Q47" s="10">
        <f t="shared" si="8"/>
        <v>19800</v>
      </c>
      <c r="V47">
        <v>5000</v>
      </c>
    </row>
    <row r="48" spans="1:22" x14ac:dyDescent="0.3">
      <c r="A48" s="10">
        <v>20</v>
      </c>
      <c r="B48" s="10" t="s">
        <v>100</v>
      </c>
      <c r="C48" s="10" t="s">
        <v>44</v>
      </c>
      <c r="D48" s="10" t="s">
        <v>53</v>
      </c>
      <c r="E48" s="10"/>
      <c r="F48" s="10" t="s">
        <v>60</v>
      </c>
      <c r="G48" s="33"/>
      <c r="H48" s="33"/>
      <c r="I48" s="34" t="s">
        <v>63</v>
      </c>
      <c r="J48" s="10" t="s">
        <v>63</v>
      </c>
      <c r="K48" s="10">
        <v>3500</v>
      </c>
      <c r="L48" s="10">
        <v>1200</v>
      </c>
      <c r="M48" s="10">
        <f t="shared" si="7"/>
        <v>4700</v>
      </c>
      <c r="O48" s="10">
        <v>3500</v>
      </c>
      <c r="P48" s="10">
        <v>1200</v>
      </c>
      <c r="Q48" s="10">
        <f t="shared" si="8"/>
        <v>4700</v>
      </c>
      <c r="V48">
        <v>3500</v>
      </c>
    </row>
    <row r="49" spans="1:22" x14ac:dyDescent="0.3">
      <c r="A49" s="10">
        <v>21</v>
      </c>
      <c r="B49" s="10" t="s">
        <v>101</v>
      </c>
      <c r="C49" s="10" t="s">
        <v>43</v>
      </c>
      <c r="D49" s="10" t="s">
        <v>44</v>
      </c>
      <c r="E49" s="10"/>
      <c r="F49" s="10" t="s">
        <v>57</v>
      </c>
      <c r="G49" s="33"/>
      <c r="H49" s="33"/>
      <c r="I49" s="34" t="s">
        <v>47</v>
      </c>
      <c r="J49" s="10" t="s">
        <v>47</v>
      </c>
      <c r="K49" s="10">
        <v>7500</v>
      </c>
      <c r="L49" s="10">
        <f>3*1200</f>
        <v>3600</v>
      </c>
      <c r="M49" s="10">
        <f t="shared" si="7"/>
        <v>11100</v>
      </c>
      <c r="O49" s="10">
        <f>5000*2</f>
        <v>10000</v>
      </c>
      <c r="P49" s="10">
        <f>3*1200</f>
        <v>3600</v>
      </c>
      <c r="Q49" s="10">
        <f t="shared" si="8"/>
        <v>13600</v>
      </c>
      <c r="V49">
        <v>5000</v>
      </c>
    </row>
    <row r="50" spans="1:22" x14ac:dyDescent="0.3">
      <c r="A50" s="10">
        <v>22</v>
      </c>
      <c r="B50" s="10" t="s">
        <v>101</v>
      </c>
      <c r="C50" s="10" t="s">
        <v>71</v>
      </c>
      <c r="D50" s="10" t="s">
        <v>44</v>
      </c>
      <c r="E50" s="10"/>
      <c r="F50" s="10" t="s">
        <v>77</v>
      </c>
      <c r="G50" s="33"/>
      <c r="H50" s="33"/>
      <c r="I50" s="34" t="s">
        <v>46</v>
      </c>
      <c r="J50" s="10" t="s">
        <v>47</v>
      </c>
      <c r="K50" s="10">
        <v>7500</v>
      </c>
      <c r="L50" s="10">
        <f>3*1200</f>
        <v>3600</v>
      </c>
      <c r="M50" s="10">
        <f t="shared" si="7"/>
        <v>11100</v>
      </c>
      <c r="O50" s="10">
        <f>5000*2</f>
        <v>10000</v>
      </c>
      <c r="P50" s="10">
        <f>3*1200</f>
        <v>3600</v>
      </c>
      <c r="Q50" s="10">
        <f t="shared" si="8"/>
        <v>13600</v>
      </c>
      <c r="V50">
        <v>5000</v>
      </c>
    </row>
    <row r="51" spans="1:22" x14ac:dyDescent="0.3">
      <c r="A51" s="10">
        <v>23</v>
      </c>
      <c r="B51" s="10" t="s">
        <v>102</v>
      </c>
      <c r="C51" s="10" t="s">
        <v>44</v>
      </c>
      <c r="D51" s="10" t="s">
        <v>53</v>
      </c>
      <c r="E51" s="10"/>
      <c r="F51" s="10" t="s">
        <v>60</v>
      </c>
      <c r="G51" s="33"/>
      <c r="H51" s="33"/>
      <c r="I51" s="34" t="s">
        <v>61</v>
      </c>
      <c r="J51" s="10" t="s">
        <v>55</v>
      </c>
      <c r="K51" s="10">
        <v>4900</v>
      </c>
      <c r="L51" s="10">
        <v>1200</v>
      </c>
      <c r="M51" s="10">
        <f t="shared" si="7"/>
        <v>6100</v>
      </c>
      <c r="O51" s="10">
        <v>4200</v>
      </c>
      <c r="P51" s="10">
        <v>1200</v>
      </c>
      <c r="Q51" s="10">
        <f t="shared" si="8"/>
        <v>5400</v>
      </c>
      <c r="V51">
        <v>3500</v>
      </c>
    </row>
    <row r="52" spans="1:22" x14ac:dyDescent="0.3">
      <c r="A52" s="10">
        <v>24</v>
      </c>
      <c r="B52" s="10" t="s">
        <v>103</v>
      </c>
      <c r="C52" s="10" t="s">
        <v>43</v>
      </c>
      <c r="D52" s="10" t="s">
        <v>44</v>
      </c>
      <c r="E52" s="10"/>
      <c r="F52" s="10" t="s">
        <v>57</v>
      </c>
      <c r="G52" s="33"/>
      <c r="H52" s="33"/>
      <c r="I52" s="34" t="s">
        <v>47</v>
      </c>
      <c r="J52" s="10" t="s">
        <v>47</v>
      </c>
      <c r="K52" s="10">
        <v>7500</v>
      </c>
      <c r="L52" s="10">
        <f>3*1200</f>
        <v>3600</v>
      </c>
      <c r="M52" s="10">
        <f t="shared" si="7"/>
        <v>11100</v>
      </c>
      <c r="O52" s="10">
        <f>5000*2</f>
        <v>10000</v>
      </c>
      <c r="P52" s="10">
        <f>3*1200</f>
        <v>3600</v>
      </c>
      <c r="Q52" s="10">
        <f t="shared" si="8"/>
        <v>13600</v>
      </c>
      <c r="V52">
        <v>5000</v>
      </c>
    </row>
    <row r="53" spans="1:22" x14ac:dyDescent="0.3">
      <c r="J53" s="28" t="s">
        <v>41</v>
      </c>
      <c r="K53" s="9">
        <f>SUM(K29:K52)</f>
        <v>165800</v>
      </c>
      <c r="L53" s="9">
        <f>SUM(L29:L52)</f>
        <v>84000</v>
      </c>
      <c r="M53" s="9">
        <f>SUM(M29:M52)</f>
        <v>249800</v>
      </c>
      <c r="O53" s="9">
        <f>SUM(O29:O52)</f>
        <v>234000</v>
      </c>
      <c r="P53" s="9">
        <f>SUM(P29:P52)</f>
        <v>84000</v>
      </c>
      <c r="Q53" s="9">
        <f>SUM(Q29:Q52)</f>
        <v>318000</v>
      </c>
      <c r="V53">
        <f>SUM(V29:V52)</f>
        <v>111500</v>
      </c>
    </row>
    <row r="55" spans="1:22" x14ac:dyDescent="0.3">
      <c r="K55" s="8">
        <f>+K53+K24</f>
        <v>300400</v>
      </c>
      <c r="L55" s="8">
        <f>+L53+L24</f>
        <v>142800</v>
      </c>
      <c r="M55" s="8">
        <f>+M53+M24</f>
        <v>443200</v>
      </c>
      <c r="O55" s="8">
        <f>+O53+O24</f>
        <v>404650</v>
      </c>
      <c r="P55" s="8">
        <f>+P53+P24</f>
        <v>142800</v>
      </c>
      <c r="Q55" s="8">
        <f>+Q53+Q24</f>
        <v>547450</v>
      </c>
    </row>
    <row r="56" spans="1:22" x14ac:dyDescent="0.3">
      <c r="K56">
        <f>+K55*10%</f>
        <v>30040</v>
      </c>
      <c r="Q56">
        <f>+Q55-M55</f>
        <v>104250</v>
      </c>
    </row>
    <row r="57" spans="1:22" x14ac:dyDescent="0.3">
      <c r="F57">
        <f>1.94+1.34</f>
        <v>3.2800000000000002</v>
      </c>
      <c r="Q57" s="37">
        <f>+Q56/Q55</f>
        <v>0.19042834962096994</v>
      </c>
    </row>
    <row r="58" spans="1:22" x14ac:dyDescent="0.3">
      <c r="F58">
        <f>4.43-3.28</f>
        <v>1.1499999999999999</v>
      </c>
    </row>
  </sheetData>
  <pageMargins left="0.70866141732283472" right="0.70866141732283472" top="0.74803149606299213" bottom="0.74803149606299213" header="0.31496062992125984" footer="0.31496062992125984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2C96-67DD-46E9-9DE4-EBADB9429650}">
  <sheetPr>
    <pageSetUpPr fitToPage="1"/>
  </sheetPr>
  <dimension ref="A1:W83"/>
  <sheetViews>
    <sheetView showGridLines="0" topLeftCell="A73" zoomScale="102" zoomScaleNormal="100" workbookViewId="0">
      <selection activeCell="B92" sqref="B92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0.21875" hidden="1" customWidth="1"/>
    <col min="6" max="6" width="13.77734375" customWidth="1"/>
    <col min="7" max="7" width="9.44140625" style="31" hidden="1" customWidth="1"/>
    <col min="8" max="8" width="10.21875" style="31" hidden="1" customWidth="1"/>
    <col min="9" max="9" width="10.44140625" style="31" hidden="1" customWidth="1"/>
    <col min="10" max="10" width="11" bestFit="1" customWidth="1"/>
    <col min="13" max="13" width="9.77734375" customWidth="1"/>
    <col min="14" max="14" width="22.77734375" hidden="1" customWidth="1"/>
    <col min="15" max="18" width="9.21875" hidden="1" customWidth="1"/>
    <col min="19" max="20" width="9.21875" customWidth="1"/>
  </cols>
  <sheetData>
    <row r="1" spans="1:23" x14ac:dyDescent="0.3">
      <c r="A1" s="8" t="s">
        <v>110</v>
      </c>
      <c r="O1" s="35"/>
      <c r="P1" s="35" t="s">
        <v>106</v>
      </c>
      <c r="Q1" s="35"/>
    </row>
    <row r="2" spans="1:23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7" t="s">
        <v>29</v>
      </c>
      <c r="F2" s="26" t="s">
        <v>30</v>
      </c>
      <c r="G2" s="32" t="s">
        <v>31</v>
      </c>
      <c r="H2" s="32" t="s">
        <v>32</v>
      </c>
      <c r="I2" s="32" t="s">
        <v>33</v>
      </c>
      <c r="J2" s="27" t="s">
        <v>34</v>
      </c>
      <c r="K2" s="26" t="s">
        <v>35</v>
      </c>
      <c r="L2" s="26" t="s">
        <v>36</v>
      </c>
      <c r="M2" s="27" t="s">
        <v>37</v>
      </c>
      <c r="N2" s="26" t="s">
        <v>87</v>
      </c>
      <c r="O2" s="27" t="s">
        <v>39</v>
      </c>
      <c r="P2" s="27" t="s">
        <v>40</v>
      </c>
      <c r="Q2" s="26" t="s">
        <v>41</v>
      </c>
      <c r="R2" t="s">
        <v>38</v>
      </c>
    </row>
    <row r="3" spans="1:23" x14ac:dyDescent="0.3">
      <c r="A3" s="10">
        <v>1</v>
      </c>
      <c r="B3" s="10" t="s">
        <v>111</v>
      </c>
      <c r="C3" s="10" t="s">
        <v>43</v>
      </c>
      <c r="D3" s="10" t="s">
        <v>44</v>
      </c>
      <c r="E3" s="10"/>
      <c r="F3" s="10" t="s">
        <v>57</v>
      </c>
      <c r="G3" s="33"/>
      <c r="H3" s="33">
        <v>6509</v>
      </c>
      <c r="I3" s="34" t="s">
        <v>118</v>
      </c>
      <c r="J3" s="10" t="s">
        <v>73</v>
      </c>
      <c r="K3" s="10">
        <v>8500</v>
      </c>
      <c r="L3" s="10">
        <v>3600</v>
      </c>
      <c r="M3" s="10">
        <f>+L3+K3</f>
        <v>12100</v>
      </c>
      <c r="N3" s="10"/>
      <c r="O3" s="10"/>
      <c r="P3" s="10"/>
      <c r="Q3" s="10"/>
    </row>
    <row r="4" spans="1:23" x14ac:dyDescent="0.3">
      <c r="A4" s="10">
        <v>2</v>
      </c>
      <c r="B4" s="10" t="s">
        <v>111</v>
      </c>
      <c r="C4" s="10" t="s">
        <v>43</v>
      </c>
      <c r="D4" s="10" t="s">
        <v>44</v>
      </c>
      <c r="E4" s="10"/>
      <c r="F4" s="10" t="s">
        <v>77</v>
      </c>
      <c r="G4" s="33"/>
      <c r="H4" s="33">
        <v>6566</v>
      </c>
      <c r="I4" s="34" t="s">
        <v>118</v>
      </c>
      <c r="J4" s="10" t="s">
        <v>73</v>
      </c>
      <c r="K4" s="10">
        <v>8500</v>
      </c>
      <c r="L4" s="10">
        <f>1200*3</f>
        <v>3600</v>
      </c>
      <c r="M4" s="10">
        <f t="shared" ref="M4:M22" si="0">+L4+K4</f>
        <v>12100</v>
      </c>
      <c r="N4" s="10"/>
      <c r="O4" s="10"/>
      <c r="P4" s="10"/>
      <c r="Q4" s="10"/>
    </row>
    <row r="5" spans="1:23" x14ac:dyDescent="0.3">
      <c r="A5" s="10">
        <v>3</v>
      </c>
      <c r="B5" s="10" t="s">
        <v>112</v>
      </c>
      <c r="C5" s="10" t="s">
        <v>86</v>
      </c>
      <c r="D5" s="10" t="s">
        <v>65</v>
      </c>
      <c r="E5" s="10"/>
      <c r="F5" s="10" t="s">
        <v>92</v>
      </c>
      <c r="G5" s="33"/>
      <c r="H5" s="33"/>
      <c r="I5" s="34"/>
      <c r="J5" s="10" t="s">
        <v>47</v>
      </c>
      <c r="K5" s="10">
        <v>8500</v>
      </c>
      <c r="L5" s="10">
        <v>3600</v>
      </c>
      <c r="M5" s="10">
        <f t="shared" si="0"/>
        <v>12100</v>
      </c>
      <c r="N5" s="10"/>
      <c r="O5" s="10"/>
      <c r="P5" s="10"/>
      <c r="Q5" s="10"/>
      <c r="V5">
        <v>6000</v>
      </c>
      <c r="W5">
        <v>5000</v>
      </c>
    </row>
    <row r="6" spans="1:23" x14ac:dyDescent="0.3">
      <c r="A6" s="10">
        <v>4</v>
      </c>
      <c r="B6" s="10" t="s">
        <v>112</v>
      </c>
      <c r="C6" s="10" t="s">
        <v>43</v>
      </c>
      <c r="D6" s="10" t="s">
        <v>44</v>
      </c>
      <c r="E6" s="10"/>
      <c r="F6" s="10" t="s">
        <v>57</v>
      </c>
      <c r="G6" s="33"/>
      <c r="H6" s="33">
        <v>6221</v>
      </c>
      <c r="I6" s="34"/>
      <c r="J6" s="10" t="s">
        <v>47</v>
      </c>
      <c r="K6" s="10">
        <v>7500</v>
      </c>
      <c r="L6" s="10">
        <f>1200*3</f>
        <v>3600</v>
      </c>
      <c r="M6" s="10">
        <f t="shared" si="0"/>
        <v>11100</v>
      </c>
      <c r="N6" s="10"/>
      <c r="O6" s="10"/>
      <c r="P6" s="10"/>
      <c r="Q6" s="10"/>
      <c r="V6">
        <v>5500</v>
      </c>
      <c r="W6">
        <v>5000</v>
      </c>
    </row>
    <row r="7" spans="1:23" x14ac:dyDescent="0.3">
      <c r="A7" s="10">
        <v>5</v>
      </c>
      <c r="B7" s="10" t="s">
        <v>112</v>
      </c>
      <c r="C7" s="10" t="s">
        <v>43</v>
      </c>
      <c r="D7" s="10" t="s">
        <v>44</v>
      </c>
      <c r="E7" s="10"/>
      <c r="F7" s="10" t="s">
        <v>77</v>
      </c>
      <c r="G7" s="33"/>
      <c r="H7" s="33">
        <v>6300</v>
      </c>
      <c r="I7" s="34"/>
      <c r="J7" s="10" t="s">
        <v>47</v>
      </c>
      <c r="K7" s="10">
        <v>7500</v>
      </c>
      <c r="L7" s="10">
        <f>1200*3</f>
        <v>3600</v>
      </c>
      <c r="M7" s="10">
        <f t="shared" si="0"/>
        <v>11100</v>
      </c>
      <c r="N7" s="10"/>
      <c r="O7" s="10"/>
      <c r="P7" s="10"/>
      <c r="Q7" s="10"/>
      <c r="V7">
        <v>5500</v>
      </c>
      <c r="W7">
        <v>5000</v>
      </c>
    </row>
    <row r="8" spans="1:23" x14ac:dyDescent="0.3">
      <c r="A8" s="10">
        <v>6</v>
      </c>
      <c r="B8" s="10" t="s">
        <v>113</v>
      </c>
      <c r="C8" s="10" t="s">
        <v>43</v>
      </c>
      <c r="D8" s="10" t="s">
        <v>44</v>
      </c>
      <c r="E8" s="10"/>
      <c r="F8" s="10" t="s">
        <v>57</v>
      </c>
      <c r="G8" s="33"/>
      <c r="H8" s="33">
        <v>6397</v>
      </c>
      <c r="I8" s="34"/>
      <c r="J8" s="10" t="s">
        <v>47</v>
      </c>
      <c r="K8" s="10">
        <v>7500</v>
      </c>
      <c r="L8" s="10">
        <v>3600</v>
      </c>
      <c r="M8" s="10">
        <f t="shared" si="0"/>
        <v>11100</v>
      </c>
      <c r="N8" s="10"/>
      <c r="O8" s="10"/>
      <c r="P8" s="10"/>
      <c r="Q8" s="10"/>
      <c r="V8">
        <v>3500</v>
      </c>
      <c r="W8">
        <v>3500</v>
      </c>
    </row>
    <row r="9" spans="1:23" x14ac:dyDescent="0.3">
      <c r="A9" s="10">
        <v>9</v>
      </c>
      <c r="B9" s="10" t="s">
        <v>113</v>
      </c>
      <c r="C9" s="10" t="s">
        <v>43</v>
      </c>
      <c r="D9" s="10" t="s">
        <v>44</v>
      </c>
      <c r="E9" s="10"/>
      <c r="F9" s="10" t="s">
        <v>77</v>
      </c>
      <c r="G9" s="33"/>
      <c r="H9" s="33">
        <v>3164</v>
      </c>
      <c r="I9" s="34"/>
      <c r="J9" s="10" t="s">
        <v>55</v>
      </c>
      <c r="K9" s="10">
        <v>6000</v>
      </c>
      <c r="L9" s="10">
        <v>2400</v>
      </c>
      <c r="M9" s="10">
        <f t="shared" si="0"/>
        <v>8400</v>
      </c>
      <c r="N9" s="10"/>
      <c r="O9" s="10"/>
      <c r="P9" s="10"/>
      <c r="Q9" s="10"/>
      <c r="V9">
        <v>3800</v>
      </c>
      <c r="W9">
        <v>3000</v>
      </c>
    </row>
    <row r="10" spans="1:23" x14ac:dyDescent="0.3">
      <c r="A10" s="10">
        <v>7</v>
      </c>
      <c r="B10" s="10" t="s">
        <v>115</v>
      </c>
      <c r="C10" s="10" t="s">
        <v>43</v>
      </c>
      <c r="D10" s="10" t="s">
        <v>44</v>
      </c>
      <c r="E10" s="10"/>
      <c r="F10" s="10" t="s">
        <v>57</v>
      </c>
      <c r="G10" s="33"/>
      <c r="H10" s="33">
        <v>6195</v>
      </c>
      <c r="I10" s="34"/>
      <c r="J10" s="10" t="s">
        <v>47</v>
      </c>
      <c r="K10" s="10">
        <v>7500</v>
      </c>
      <c r="L10" s="10">
        <v>3600</v>
      </c>
      <c r="M10" s="10">
        <f t="shared" si="0"/>
        <v>11100</v>
      </c>
      <c r="N10" s="10"/>
      <c r="O10" s="10"/>
      <c r="P10" s="10"/>
      <c r="Q10" s="10"/>
      <c r="V10">
        <v>4000</v>
      </c>
      <c r="W10">
        <v>3000</v>
      </c>
    </row>
    <row r="11" spans="1:23" x14ac:dyDescent="0.3">
      <c r="A11" s="10">
        <v>8</v>
      </c>
      <c r="B11" s="10" t="s">
        <v>115</v>
      </c>
      <c r="C11" s="10" t="s">
        <v>43</v>
      </c>
      <c r="D11" s="10" t="s">
        <v>44</v>
      </c>
      <c r="E11" s="10"/>
      <c r="F11" s="10" t="s">
        <v>92</v>
      </c>
      <c r="G11" s="33"/>
      <c r="H11" s="33">
        <v>6121</v>
      </c>
      <c r="I11" s="34"/>
      <c r="J11" s="10" t="s">
        <v>47</v>
      </c>
      <c r="K11" s="10">
        <v>7500</v>
      </c>
      <c r="L11" s="10">
        <v>3600</v>
      </c>
      <c r="M11" s="10">
        <f t="shared" si="0"/>
        <v>11100</v>
      </c>
      <c r="N11" s="10"/>
      <c r="O11" s="10"/>
      <c r="P11" s="10"/>
      <c r="Q11" s="10"/>
      <c r="V11">
        <v>4300</v>
      </c>
      <c r="W11">
        <v>3500</v>
      </c>
    </row>
    <row r="12" spans="1:23" x14ac:dyDescent="0.3">
      <c r="A12" s="10">
        <v>10</v>
      </c>
      <c r="B12" s="10" t="s">
        <v>115</v>
      </c>
      <c r="C12" s="10" t="s">
        <v>44</v>
      </c>
      <c r="D12" s="10" t="s">
        <v>53</v>
      </c>
      <c r="E12" s="10"/>
      <c r="F12" s="10" t="s">
        <v>77</v>
      </c>
      <c r="G12" s="33"/>
      <c r="H12" s="33"/>
      <c r="I12" s="34"/>
      <c r="J12" s="10" t="s">
        <v>47</v>
      </c>
      <c r="K12" s="10">
        <v>5900</v>
      </c>
      <c r="L12" s="10">
        <v>3600</v>
      </c>
      <c r="M12" s="10">
        <f t="shared" si="0"/>
        <v>9500</v>
      </c>
      <c r="N12" s="10"/>
      <c r="O12" s="10"/>
      <c r="P12" s="10"/>
      <c r="Q12" s="10"/>
      <c r="V12">
        <v>5500</v>
      </c>
      <c r="W12">
        <v>5000</v>
      </c>
    </row>
    <row r="13" spans="1:23" x14ac:dyDescent="0.3">
      <c r="A13" s="10">
        <v>11</v>
      </c>
      <c r="B13" s="10" t="s">
        <v>115</v>
      </c>
      <c r="C13" s="10" t="s">
        <v>44</v>
      </c>
      <c r="D13" s="10" t="s">
        <v>65</v>
      </c>
      <c r="E13" s="10"/>
      <c r="F13" s="10" t="s">
        <v>60</v>
      </c>
      <c r="G13" s="33"/>
      <c r="H13" s="33"/>
      <c r="I13" s="34"/>
      <c r="J13" s="10" t="s">
        <v>63</v>
      </c>
      <c r="K13" s="10">
        <v>3500</v>
      </c>
      <c r="L13" s="10">
        <v>1200</v>
      </c>
      <c r="M13" s="10">
        <f t="shared" si="0"/>
        <v>4700</v>
      </c>
      <c r="N13" s="10"/>
      <c r="O13" s="10"/>
      <c r="P13" s="10"/>
      <c r="Q13" s="10"/>
      <c r="V13">
        <v>5500</v>
      </c>
      <c r="W13">
        <v>5000</v>
      </c>
    </row>
    <row r="14" spans="1:23" x14ac:dyDescent="0.3">
      <c r="A14" s="10">
        <v>12</v>
      </c>
      <c r="B14" s="10" t="s">
        <v>116</v>
      </c>
      <c r="C14" s="10" t="s">
        <v>43</v>
      </c>
      <c r="D14" s="10" t="s">
        <v>44</v>
      </c>
      <c r="E14" s="10"/>
      <c r="F14" s="10" t="s">
        <v>77</v>
      </c>
      <c r="G14" s="33"/>
      <c r="H14" s="33">
        <v>6041</v>
      </c>
      <c r="I14" s="34"/>
      <c r="J14" s="10" t="s">
        <v>47</v>
      </c>
      <c r="K14" s="10">
        <v>7500</v>
      </c>
      <c r="L14" s="10">
        <v>3600</v>
      </c>
      <c r="M14" s="10">
        <f t="shared" si="0"/>
        <v>11100</v>
      </c>
      <c r="N14" s="10"/>
      <c r="O14" s="10"/>
      <c r="P14" s="10"/>
      <c r="Q14" s="10"/>
      <c r="V14">
        <v>2800</v>
      </c>
      <c r="W14">
        <v>2500</v>
      </c>
    </row>
    <row r="15" spans="1:23" x14ac:dyDescent="0.3">
      <c r="A15" s="10">
        <v>13</v>
      </c>
      <c r="B15" s="10" t="s">
        <v>116</v>
      </c>
      <c r="C15" s="10" t="s">
        <v>43</v>
      </c>
      <c r="D15" s="10" t="s">
        <v>44</v>
      </c>
      <c r="E15" s="10"/>
      <c r="F15" s="10" t="s">
        <v>92</v>
      </c>
      <c r="G15" s="33"/>
      <c r="H15" s="33">
        <v>6098</v>
      </c>
      <c r="I15" s="34"/>
      <c r="J15" s="10" t="s">
        <v>47</v>
      </c>
      <c r="K15" s="10">
        <v>7500</v>
      </c>
      <c r="L15" s="10">
        <v>3600</v>
      </c>
      <c r="M15" s="10">
        <f t="shared" si="0"/>
        <v>11100</v>
      </c>
      <c r="N15" s="10"/>
      <c r="O15" s="10"/>
      <c r="P15" s="10"/>
      <c r="Q15" s="10"/>
      <c r="V15">
        <v>5500</v>
      </c>
      <c r="W15">
        <v>5000</v>
      </c>
    </row>
    <row r="16" spans="1:23" x14ac:dyDescent="0.3">
      <c r="A16" s="10">
        <v>14</v>
      </c>
      <c r="B16" s="10" t="s">
        <v>116</v>
      </c>
      <c r="C16" s="10" t="s">
        <v>44</v>
      </c>
      <c r="D16" s="10" t="s">
        <v>53</v>
      </c>
      <c r="E16" s="10"/>
      <c r="F16" s="10" t="s">
        <v>57</v>
      </c>
      <c r="G16" s="33"/>
      <c r="H16" s="33"/>
      <c r="I16" s="34"/>
      <c r="J16" s="10" t="s">
        <v>47</v>
      </c>
      <c r="K16" s="10">
        <v>5900</v>
      </c>
      <c r="L16" s="10">
        <v>3600</v>
      </c>
      <c r="M16" s="10">
        <f t="shared" si="0"/>
        <v>9500</v>
      </c>
      <c r="N16" s="10"/>
      <c r="O16" s="10"/>
      <c r="P16" s="10"/>
      <c r="Q16" s="10"/>
      <c r="V16">
        <v>5500</v>
      </c>
      <c r="W16">
        <v>5000</v>
      </c>
    </row>
    <row r="17" spans="1:23" x14ac:dyDescent="0.3">
      <c r="A17" s="10">
        <v>15</v>
      </c>
      <c r="B17" s="10" t="s">
        <v>116</v>
      </c>
      <c r="C17" s="10" t="s">
        <v>44</v>
      </c>
      <c r="D17" s="10" t="s">
        <v>65</v>
      </c>
      <c r="E17" s="10"/>
      <c r="F17" s="10" t="s">
        <v>60</v>
      </c>
      <c r="G17" s="33"/>
      <c r="H17" s="33"/>
      <c r="I17" s="34"/>
      <c r="J17" s="10" t="s">
        <v>63</v>
      </c>
      <c r="K17" s="10">
        <v>3500</v>
      </c>
      <c r="L17" s="10">
        <v>1200</v>
      </c>
      <c r="M17" s="10">
        <f t="shared" si="0"/>
        <v>4700</v>
      </c>
      <c r="N17" s="10"/>
      <c r="O17" s="10"/>
      <c r="P17" s="10"/>
      <c r="Q17" s="10"/>
      <c r="V17">
        <v>5500</v>
      </c>
      <c r="W17">
        <v>5000</v>
      </c>
    </row>
    <row r="18" spans="1:23" x14ac:dyDescent="0.3">
      <c r="A18" s="10">
        <v>16</v>
      </c>
      <c r="B18" s="10" t="s">
        <v>114</v>
      </c>
      <c r="C18" s="10" t="s">
        <v>86</v>
      </c>
      <c r="D18" s="10" t="s">
        <v>71</v>
      </c>
      <c r="E18" s="10"/>
      <c r="F18" s="10" t="s">
        <v>117</v>
      </c>
      <c r="G18" s="33"/>
      <c r="H18" s="33"/>
      <c r="I18" s="34"/>
      <c r="J18" s="10" t="s">
        <v>73</v>
      </c>
      <c r="K18" s="10">
        <v>8500</v>
      </c>
      <c r="L18" s="10">
        <v>3600</v>
      </c>
      <c r="M18" s="10">
        <f t="shared" si="0"/>
        <v>12100</v>
      </c>
      <c r="N18" s="10"/>
      <c r="O18" s="10"/>
      <c r="P18" s="10"/>
      <c r="Q18" s="10"/>
      <c r="V18">
        <v>5500</v>
      </c>
      <c r="W18">
        <v>5000</v>
      </c>
    </row>
    <row r="19" spans="1:23" x14ac:dyDescent="0.3">
      <c r="A19" s="10">
        <v>17</v>
      </c>
      <c r="B19" s="10" t="s">
        <v>114</v>
      </c>
      <c r="C19" s="10" t="s">
        <v>43</v>
      </c>
      <c r="D19" s="10" t="s">
        <v>44</v>
      </c>
      <c r="E19" s="10"/>
      <c r="F19" s="10" t="s">
        <v>77</v>
      </c>
      <c r="G19" s="33"/>
      <c r="H19" s="33">
        <v>6089</v>
      </c>
      <c r="I19" s="34"/>
      <c r="J19" s="10" t="s">
        <v>47</v>
      </c>
      <c r="K19" s="10">
        <v>7500</v>
      </c>
      <c r="L19" s="10">
        <v>3600</v>
      </c>
      <c r="M19" s="10">
        <f t="shared" si="0"/>
        <v>11100</v>
      </c>
      <c r="N19" s="10"/>
      <c r="O19" s="10"/>
      <c r="P19" s="10"/>
      <c r="Q19" s="10"/>
      <c r="V19">
        <v>4000</v>
      </c>
      <c r="W19">
        <v>3500</v>
      </c>
    </row>
    <row r="20" spans="1:23" x14ac:dyDescent="0.3">
      <c r="A20" s="10">
        <v>18</v>
      </c>
      <c r="B20" s="10" t="s">
        <v>114</v>
      </c>
      <c r="C20" s="10" t="s">
        <v>43</v>
      </c>
      <c r="D20" s="10" t="s">
        <v>44</v>
      </c>
      <c r="E20" s="10"/>
      <c r="F20" s="10" t="s">
        <v>57</v>
      </c>
      <c r="G20" s="33"/>
      <c r="H20" s="33">
        <v>6107</v>
      </c>
      <c r="I20" s="34"/>
      <c r="J20" s="10" t="s">
        <v>47</v>
      </c>
      <c r="K20" s="10">
        <v>7500</v>
      </c>
      <c r="L20" s="10">
        <f>1200*3</f>
        <v>3600</v>
      </c>
      <c r="M20" s="10">
        <f t="shared" si="0"/>
        <v>11100</v>
      </c>
      <c r="N20" s="10"/>
      <c r="O20" s="10"/>
      <c r="P20" s="10"/>
      <c r="Q20" s="10"/>
      <c r="V20">
        <v>5500</v>
      </c>
      <c r="W20">
        <v>5000</v>
      </c>
    </row>
    <row r="21" spans="1:23" x14ac:dyDescent="0.3">
      <c r="A21" s="10">
        <v>19</v>
      </c>
      <c r="B21" s="10" t="s">
        <v>114</v>
      </c>
      <c r="C21" s="10" t="s">
        <v>43</v>
      </c>
      <c r="D21" s="10" t="s">
        <v>44</v>
      </c>
      <c r="E21" s="10"/>
      <c r="F21" s="10" t="s">
        <v>54</v>
      </c>
      <c r="G21" s="33"/>
      <c r="H21" s="33">
        <v>6175</v>
      </c>
      <c r="I21" s="34"/>
      <c r="J21" s="10" t="s">
        <v>47</v>
      </c>
      <c r="K21" s="10">
        <v>7500</v>
      </c>
      <c r="L21" s="10">
        <v>3600</v>
      </c>
      <c r="M21" s="10">
        <f t="shared" si="0"/>
        <v>11100</v>
      </c>
      <c r="N21" s="10"/>
      <c r="O21" s="10"/>
      <c r="P21" s="10"/>
      <c r="Q21" s="10"/>
      <c r="V21">
        <v>5000</v>
      </c>
      <c r="W21">
        <v>4500</v>
      </c>
    </row>
    <row r="22" spans="1:23" x14ac:dyDescent="0.3">
      <c r="A22" s="10">
        <v>20</v>
      </c>
      <c r="B22" s="10" t="s">
        <v>114</v>
      </c>
      <c r="C22" s="10" t="s">
        <v>44</v>
      </c>
      <c r="D22" s="10" t="s">
        <v>53</v>
      </c>
      <c r="E22" s="10"/>
      <c r="F22" s="10" t="s">
        <v>94</v>
      </c>
      <c r="G22" s="33"/>
      <c r="H22" s="33"/>
      <c r="I22" s="34"/>
      <c r="J22" s="10" t="s">
        <v>61</v>
      </c>
      <c r="K22" s="10">
        <v>4900</v>
      </c>
      <c r="L22" s="10">
        <v>1200</v>
      </c>
      <c r="M22" s="10">
        <f t="shared" si="0"/>
        <v>6100</v>
      </c>
      <c r="N22" s="10"/>
      <c r="O22" s="10"/>
      <c r="P22" s="10"/>
      <c r="Q22" s="10"/>
      <c r="V22">
        <v>3000</v>
      </c>
      <c r="W22">
        <v>3000</v>
      </c>
    </row>
    <row r="23" spans="1:23" x14ac:dyDescent="0.3">
      <c r="J23" s="28" t="s">
        <v>41</v>
      </c>
      <c r="K23" s="9">
        <f>SUM(K3:K22)</f>
        <v>138700</v>
      </c>
      <c r="L23" s="9">
        <f>SUM(L3:L22)</f>
        <v>63600</v>
      </c>
      <c r="M23" s="9">
        <f>SUM(M3:M22)</f>
        <v>202300</v>
      </c>
      <c r="O23" s="9">
        <f>SUM(O3:O22)</f>
        <v>0</v>
      </c>
      <c r="P23" s="9">
        <f>SUM(P3:P22)</f>
        <v>0</v>
      </c>
      <c r="Q23" s="9">
        <f>SUM(Q3:Q22)</f>
        <v>0</v>
      </c>
      <c r="V23">
        <f>SUM(V3:V22)</f>
        <v>85900</v>
      </c>
      <c r="W23">
        <f>SUM(W5:W22)</f>
        <v>76500</v>
      </c>
    </row>
    <row r="24" spans="1:23" x14ac:dyDescent="0.3">
      <c r="Q24">
        <f>Q23-M23</f>
        <v>-202300</v>
      </c>
    </row>
    <row r="27" spans="1:23" x14ac:dyDescent="0.3">
      <c r="A27" s="51" t="s">
        <v>122</v>
      </c>
      <c r="B27" s="52"/>
      <c r="C27" s="52"/>
      <c r="D27" s="52"/>
      <c r="E27" s="52"/>
      <c r="F27" s="52"/>
      <c r="G27" s="53"/>
      <c r="H27" s="53"/>
      <c r="I27" s="53"/>
      <c r="J27" s="52"/>
      <c r="K27" s="52"/>
      <c r="L27" s="52"/>
      <c r="M27" s="52"/>
    </row>
    <row r="28" spans="1:23" ht="28.8" x14ac:dyDescent="0.3">
      <c r="A28" s="54" t="s">
        <v>25</v>
      </c>
      <c r="B28" s="54" t="s">
        <v>26</v>
      </c>
      <c r="C28" s="54" t="s">
        <v>27</v>
      </c>
      <c r="D28" s="54" t="s">
        <v>28</v>
      </c>
      <c r="E28" s="55" t="s">
        <v>29</v>
      </c>
      <c r="F28" s="54" t="s">
        <v>30</v>
      </c>
      <c r="G28" s="56" t="s">
        <v>31</v>
      </c>
      <c r="H28" s="56" t="s">
        <v>32</v>
      </c>
      <c r="I28" s="56" t="s">
        <v>33</v>
      </c>
      <c r="J28" s="55" t="s">
        <v>34</v>
      </c>
      <c r="K28" s="54" t="s">
        <v>35</v>
      </c>
      <c r="L28" s="54" t="s">
        <v>36</v>
      </c>
      <c r="M28" s="55" t="s">
        <v>37</v>
      </c>
    </row>
    <row r="29" spans="1:23" x14ac:dyDescent="0.3">
      <c r="A29" s="57">
        <v>1</v>
      </c>
      <c r="B29" s="57" t="s">
        <v>123</v>
      </c>
      <c r="C29" s="57" t="s">
        <v>124</v>
      </c>
      <c r="D29" s="57" t="s">
        <v>44</v>
      </c>
      <c r="E29" s="57"/>
      <c r="F29" s="57" t="s">
        <v>60</v>
      </c>
      <c r="G29" s="58"/>
      <c r="H29" s="58">
        <v>6509</v>
      </c>
      <c r="I29" s="59" t="s">
        <v>118</v>
      </c>
      <c r="J29" s="57" t="s">
        <v>61</v>
      </c>
      <c r="K29" s="57">
        <v>4500</v>
      </c>
      <c r="L29" s="57">
        <v>1200</v>
      </c>
      <c r="M29" s="57">
        <f>+L29+K29</f>
        <v>5700</v>
      </c>
    </row>
    <row r="30" spans="1:23" x14ac:dyDescent="0.3">
      <c r="A30" s="57">
        <v>2</v>
      </c>
      <c r="B30" s="57" t="s">
        <v>123</v>
      </c>
      <c r="C30" s="57" t="s">
        <v>43</v>
      </c>
      <c r="D30" s="57" t="s">
        <v>44</v>
      </c>
      <c r="E30" s="57"/>
      <c r="F30" s="57" t="s">
        <v>57</v>
      </c>
      <c r="G30" s="58"/>
      <c r="H30" s="58">
        <v>6075</v>
      </c>
      <c r="I30" s="59" t="s">
        <v>118</v>
      </c>
      <c r="J30" s="57" t="s">
        <v>47</v>
      </c>
      <c r="K30" s="57">
        <v>7500</v>
      </c>
      <c r="L30" s="57">
        <f>1200*3</f>
        <v>3600</v>
      </c>
      <c r="M30" s="57">
        <f t="shared" ref="M30:M45" si="1">+L30+K30</f>
        <v>11100</v>
      </c>
    </row>
    <row r="31" spans="1:23" x14ac:dyDescent="0.3">
      <c r="A31" s="57">
        <v>3</v>
      </c>
      <c r="B31" s="57" t="s">
        <v>123</v>
      </c>
      <c r="C31" s="57" t="s">
        <v>43</v>
      </c>
      <c r="D31" s="57" t="s">
        <v>44</v>
      </c>
      <c r="E31" s="57"/>
      <c r="F31" s="57" t="s">
        <v>125</v>
      </c>
      <c r="G31" s="58"/>
      <c r="H31" s="58">
        <v>6085</v>
      </c>
      <c r="I31" s="59"/>
      <c r="J31" s="57" t="s">
        <v>47</v>
      </c>
      <c r="K31" s="57">
        <v>7500</v>
      </c>
      <c r="L31" s="57">
        <v>3600</v>
      </c>
      <c r="M31" s="57">
        <f t="shared" si="1"/>
        <v>11100</v>
      </c>
    </row>
    <row r="32" spans="1:23" x14ac:dyDescent="0.3">
      <c r="A32" s="57">
        <v>4</v>
      </c>
      <c r="B32" s="57" t="s">
        <v>123</v>
      </c>
      <c r="C32" s="57" t="s">
        <v>71</v>
      </c>
      <c r="D32" s="57" t="s">
        <v>44</v>
      </c>
      <c r="E32" s="57"/>
      <c r="F32" s="57" t="s">
        <v>77</v>
      </c>
      <c r="G32" s="58"/>
      <c r="H32" s="58">
        <v>3300</v>
      </c>
      <c r="I32" s="59"/>
      <c r="J32" s="57" t="s">
        <v>55</v>
      </c>
      <c r="K32" s="57">
        <v>5200</v>
      </c>
      <c r="L32" s="57">
        <v>2400</v>
      </c>
      <c r="M32" s="57">
        <f t="shared" si="1"/>
        <v>7600</v>
      </c>
    </row>
    <row r="33" spans="1:19" x14ac:dyDescent="0.3">
      <c r="A33" s="57">
        <v>5</v>
      </c>
      <c r="B33" s="57" t="s">
        <v>123</v>
      </c>
      <c r="C33" s="57" t="s">
        <v>44</v>
      </c>
      <c r="D33" s="57" t="s">
        <v>65</v>
      </c>
      <c r="E33" s="57"/>
      <c r="F33" s="57" t="s">
        <v>60</v>
      </c>
      <c r="G33" s="58"/>
      <c r="H33" s="58"/>
      <c r="I33" s="59"/>
      <c r="J33" s="57" t="s">
        <v>61</v>
      </c>
      <c r="K33" s="57">
        <v>5000</v>
      </c>
      <c r="L33" s="57">
        <v>1200</v>
      </c>
      <c r="M33" s="57">
        <f t="shared" si="1"/>
        <v>6200</v>
      </c>
    </row>
    <row r="34" spans="1:19" x14ac:dyDescent="0.3">
      <c r="A34" s="57">
        <v>6</v>
      </c>
      <c r="B34" s="57" t="s">
        <v>126</v>
      </c>
      <c r="C34" s="57" t="s">
        <v>43</v>
      </c>
      <c r="D34" s="57" t="s">
        <v>44</v>
      </c>
      <c r="E34" s="57"/>
      <c r="F34" s="57" t="s">
        <v>57</v>
      </c>
      <c r="G34" s="58"/>
      <c r="H34" s="58">
        <v>6175</v>
      </c>
      <c r="I34" s="59"/>
      <c r="J34" s="57" t="s">
        <v>47</v>
      </c>
      <c r="K34" s="57">
        <v>7500</v>
      </c>
      <c r="L34" s="57">
        <v>3600</v>
      </c>
      <c r="M34" s="57">
        <f t="shared" si="1"/>
        <v>11100</v>
      </c>
    </row>
    <row r="35" spans="1:19" x14ac:dyDescent="0.3">
      <c r="A35" s="57">
        <v>7</v>
      </c>
      <c r="B35" s="57" t="s">
        <v>126</v>
      </c>
      <c r="C35" s="57" t="s">
        <v>43</v>
      </c>
      <c r="D35" s="57" t="s">
        <v>44</v>
      </c>
      <c r="E35" s="57"/>
      <c r="F35" s="57" t="s">
        <v>77</v>
      </c>
      <c r="G35" s="58"/>
      <c r="H35" s="58">
        <v>6046</v>
      </c>
      <c r="I35" s="59"/>
      <c r="J35" s="57" t="s">
        <v>47</v>
      </c>
      <c r="K35" s="57">
        <v>7500</v>
      </c>
      <c r="L35" s="57">
        <v>3600</v>
      </c>
      <c r="M35" s="57">
        <f t="shared" si="1"/>
        <v>11100</v>
      </c>
    </row>
    <row r="36" spans="1:19" x14ac:dyDescent="0.3">
      <c r="A36" s="57">
        <v>8</v>
      </c>
      <c r="B36" s="57" t="s">
        <v>126</v>
      </c>
      <c r="C36" s="57" t="s">
        <v>43</v>
      </c>
      <c r="D36" s="57" t="s">
        <v>44</v>
      </c>
      <c r="E36" s="57"/>
      <c r="F36" s="57" t="s">
        <v>125</v>
      </c>
      <c r="G36" s="58"/>
      <c r="H36" s="58">
        <v>6104</v>
      </c>
      <c r="I36" s="59"/>
      <c r="J36" s="57" t="s">
        <v>47</v>
      </c>
      <c r="K36" s="57">
        <v>7500</v>
      </c>
      <c r="L36" s="57">
        <v>3600</v>
      </c>
      <c r="M36" s="57">
        <f t="shared" si="1"/>
        <v>11100</v>
      </c>
    </row>
    <row r="37" spans="1:19" x14ac:dyDescent="0.3">
      <c r="A37" s="57">
        <v>9</v>
      </c>
      <c r="B37" s="57" t="s">
        <v>126</v>
      </c>
      <c r="C37" s="57" t="s">
        <v>124</v>
      </c>
      <c r="D37" s="57" t="s">
        <v>65</v>
      </c>
      <c r="E37" s="57"/>
      <c r="F37" s="57" t="s">
        <v>94</v>
      </c>
      <c r="G37" s="58"/>
      <c r="H37" s="58"/>
      <c r="I37" s="59"/>
      <c r="J37" s="57" t="s">
        <v>63</v>
      </c>
      <c r="K37" s="57">
        <v>2800</v>
      </c>
      <c r="L37" s="57">
        <v>600</v>
      </c>
      <c r="M37" s="57">
        <f t="shared" si="1"/>
        <v>3400</v>
      </c>
    </row>
    <row r="38" spans="1:19" x14ac:dyDescent="0.3">
      <c r="A38" s="57">
        <v>10</v>
      </c>
      <c r="B38" s="57" t="s">
        <v>126</v>
      </c>
      <c r="C38" s="57" t="s">
        <v>44</v>
      </c>
      <c r="D38" s="57" t="s">
        <v>124</v>
      </c>
      <c r="E38" s="57"/>
      <c r="F38" s="57" t="s">
        <v>94</v>
      </c>
      <c r="G38" s="58"/>
      <c r="H38" s="58"/>
      <c r="I38" s="59"/>
      <c r="J38" s="57" t="s">
        <v>63</v>
      </c>
      <c r="K38" s="57">
        <v>3500</v>
      </c>
      <c r="L38" s="57">
        <v>600</v>
      </c>
      <c r="M38" s="57">
        <f t="shared" si="1"/>
        <v>4100</v>
      </c>
    </row>
    <row r="39" spans="1:19" x14ac:dyDescent="0.3">
      <c r="A39" s="57">
        <v>11</v>
      </c>
      <c r="B39" s="57" t="s">
        <v>127</v>
      </c>
      <c r="C39" s="57" t="s">
        <v>86</v>
      </c>
      <c r="D39" s="57" t="s">
        <v>71</v>
      </c>
      <c r="E39" s="57"/>
      <c r="F39" s="57" t="s">
        <v>125</v>
      </c>
      <c r="G39" s="58"/>
      <c r="H39" s="58">
        <v>9122</v>
      </c>
      <c r="I39" s="59"/>
      <c r="J39" s="57" t="s">
        <v>73</v>
      </c>
      <c r="K39" s="57">
        <v>8500</v>
      </c>
      <c r="L39" s="57">
        <v>4800</v>
      </c>
      <c r="M39" s="57">
        <f t="shared" si="1"/>
        <v>13300</v>
      </c>
    </row>
    <row r="40" spans="1:19" x14ac:dyDescent="0.3">
      <c r="A40" s="57">
        <v>12</v>
      </c>
      <c r="B40" s="57" t="s">
        <v>128</v>
      </c>
      <c r="C40" s="57" t="s">
        <v>43</v>
      </c>
      <c r="D40" s="57" t="s">
        <v>44</v>
      </c>
      <c r="E40" s="57"/>
      <c r="F40" s="57" t="s">
        <v>77</v>
      </c>
      <c r="G40" s="58"/>
      <c r="H40" s="58">
        <v>6228</v>
      </c>
      <c r="I40" s="59"/>
      <c r="J40" s="57" t="s">
        <v>47</v>
      </c>
      <c r="K40" s="57">
        <v>7500</v>
      </c>
      <c r="L40" s="57">
        <v>3600</v>
      </c>
      <c r="M40" s="57">
        <f t="shared" si="1"/>
        <v>11100</v>
      </c>
    </row>
    <row r="41" spans="1:19" x14ac:dyDescent="0.3">
      <c r="A41" s="57">
        <v>13</v>
      </c>
      <c r="B41" s="57" t="s">
        <v>129</v>
      </c>
      <c r="C41" s="57" t="s">
        <v>65</v>
      </c>
      <c r="D41" s="57" t="s">
        <v>44</v>
      </c>
      <c r="E41" s="57"/>
      <c r="F41" s="57" t="s">
        <v>60</v>
      </c>
      <c r="G41" s="58"/>
      <c r="H41" s="58"/>
      <c r="I41" s="59"/>
      <c r="J41" s="57" t="s">
        <v>61</v>
      </c>
      <c r="K41" s="57">
        <v>5600</v>
      </c>
      <c r="L41" s="57">
        <v>1200</v>
      </c>
      <c r="M41" s="57">
        <f t="shared" si="1"/>
        <v>6800</v>
      </c>
    </row>
    <row r="42" spans="1:19" x14ac:dyDescent="0.3">
      <c r="A42" s="57">
        <v>14</v>
      </c>
      <c r="B42" s="57" t="s">
        <v>129</v>
      </c>
      <c r="C42" s="57" t="s">
        <v>43</v>
      </c>
      <c r="D42" s="57" t="s">
        <v>44</v>
      </c>
      <c r="E42" s="57"/>
      <c r="F42" s="57" t="s">
        <v>77</v>
      </c>
      <c r="G42" s="58"/>
      <c r="H42" s="58">
        <v>6028</v>
      </c>
      <c r="I42" s="59"/>
      <c r="J42" s="57" t="s">
        <v>47</v>
      </c>
      <c r="K42" s="57">
        <v>7500</v>
      </c>
      <c r="L42" s="57">
        <v>3600</v>
      </c>
      <c r="M42" s="57">
        <f t="shared" si="1"/>
        <v>11100</v>
      </c>
    </row>
    <row r="43" spans="1:19" x14ac:dyDescent="0.3">
      <c r="A43" s="57">
        <v>15</v>
      </c>
      <c r="B43" s="57" t="s">
        <v>130</v>
      </c>
      <c r="C43" s="57" t="s">
        <v>86</v>
      </c>
      <c r="D43" s="57" t="s">
        <v>71</v>
      </c>
      <c r="E43" s="57"/>
      <c r="F43" s="57" t="s">
        <v>125</v>
      </c>
      <c r="G43" s="58"/>
      <c r="H43" s="58">
        <v>9122</v>
      </c>
      <c r="I43" s="59"/>
      <c r="J43" s="57" t="s">
        <v>73</v>
      </c>
      <c r="K43" s="57">
        <v>8500</v>
      </c>
      <c r="L43" s="57">
        <v>4800</v>
      </c>
      <c r="M43" s="57">
        <f t="shared" si="1"/>
        <v>13300</v>
      </c>
    </row>
    <row r="44" spans="1:19" x14ac:dyDescent="0.3">
      <c r="A44" s="57">
        <v>16</v>
      </c>
      <c r="B44" s="57" t="s">
        <v>132</v>
      </c>
      <c r="C44" s="57" t="s">
        <v>44</v>
      </c>
      <c r="D44" s="57" t="s">
        <v>65</v>
      </c>
      <c r="E44" s="57"/>
      <c r="F44" s="57" t="s">
        <v>94</v>
      </c>
      <c r="G44" s="58"/>
      <c r="H44" s="58"/>
      <c r="I44" s="59"/>
      <c r="J44" s="57" t="s">
        <v>63</v>
      </c>
      <c r="K44" s="57">
        <v>3500</v>
      </c>
      <c r="L44" s="57">
        <v>600</v>
      </c>
      <c r="M44" s="57">
        <f t="shared" si="1"/>
        <v>4100</v>
      </c>
    </row>
    <row r="45" spans="1:19" x14ac:dyDescent="0.3">
      <c r="A45" s="57">
        <v>17</v>
      </c>
      <c r="B45" s="57" t="s">
        <v>132</v>
      </c>
      <c r="C45" s="57" t="s">
        <v>65</v>
      </c>
      <c r="D45" s="57" t="s">
        <v>44</v>
      </c>
      <c r="E45" s="57"/>
      <c r="F45" s="57" t="s">
        <v>94</v>
      </c>
      <c r="G45" s="58"/>
      <c r="H45" s="58"/>
      <c r="I45" s="59"/>
      <c r="J45" s="57" t="s">
        <v>63</v>
      </c>
      <c r="K45" s="57">
        <v>3500</v>
      </c>
      <c r="L45" s="57">
        <v>600</v>
      </c>
      <c r="M45" s="57">
        <f t="shared" si="1"/>
        <v>4100</v>
      </c>
    </row>
    <row r="46" spans="1:19" x14ac:dyDescent="0.3">
      <c r="A46" s="57">
        <v>18</v>
      </c>
      <c r="B46" s="57" t="s">
        <v>132</v>
      </c>
      <c r="C46" s="57" t="s">
        <v>98</v>
      </c>
      <c r="D46" s="57" t="s">
        <v>44</v>
      </c>
      <c r="E46" s="57"/>
      <c r="F46" s="57" t="s">
        <v>177</v>
      </c>
      <c r="G46" s="58"/>
      <c r="H46" s="58">
        <v>1899</v>
      </c>
      <c r="I46" s="59"/>
      <c r="J46" s="57" t="s">
        <v>55</v>
      </c>
      <c r="K46" s="57">
        <v>5200</v>
      </c>
      <c r="L46" s="57">
        <v>1200</v>
      </c>
      <c r="M46" s="57">
        <f t="shared" ref="M46" si="2">+L46+K46</f>
        <v>6400</v>
      </c>
      <c r="S46" t="s">
        <v>131</v>
      </c>
    </row>
    <row r="47" spans="1:19" x14ac:dyDescent="0.3">
      <c r="A47" s="52"/>
      <c r="B47" s="52"/>
      <c r="C47" s="52"/>
      <c r="D47" s="52"/>
      <c r="E47" s="52"/>
      <c r="F47" s="52"/>
      <c r="G47" s="53"/>
      <c r="H47" s="53"/>
      <c r="I47" s="53"/>
      <c r="J47" s="60" t="s">
        <v>41</v>
      </c>
      <c r="K47" s="61">
        <f>SUM(K29:K46)</f>
        <v>108300</v>
      </c>
      <c r="L47" s="61">
        <f>SUM(L29:L46)</f>
        <v>44400</v>
      </c>
      <c r="M47" s="61">
        <f>SUM(M29:M46)</f>
        <v>152700</v>
      </c>
    </row>
    <row r="51" spans="1:19" x14ac:dyDescent="0.3">
      <c r="A51" s="8" t="s">
        <v>135</v>
      </c>
    </row>
    <row r="52" spans="1:19" ht="28.8" x14ac:dyDescent="0.3">
      <c r="A52" s="26" t="s">
        <v>25</v>
      </c>
      <c r="B52" s="26" t="s">
        <v>26</v>
      </c>
      <c r="C52" s="26" t="s">
        <v>27</v>
      </c>
      <c r="D52" s="26" t="s">
        <v>28</v>
      </c>
      <c r="E52" s="27" t="s">
        <v>29</v>
      </c>
      <c r="F52" s="26" t="s">
        <v>30</v>
      </c>
      <c r="G52" s="32" t="s">
        <v>31</v>
      </c>
      <c r="H52" s="32" t="s">
        <v>32</v>
      </c>
      <c r="I52" s="32" t="s">
        <v>33</v>
      </c>
      <c r="J52" s="27" t="s">
        <v>34</v>
      </c>
      <c r="K52" s="26" t="s">
        <v>35</v>
      </c>
      <c r="L52" s="26" t="s">
        <v>36</v>
      </c>
      <c r="M52" s="27" t="s">
        <v>37</v>
      </c>
    </row>
    <row r="53" spans="1:19" x14ac:dyDescent="0.3">
      <c r="A53" s="10">
        <v>1</v>
      </c>
      <c r="B53" s="10" t="s">
        <v>136</v>
      </c>
      <c r="C53" s="10" t="s">
        <v>44</v>
      </c>
      <c r="D53" s="10" t="s">
        <v>124</v>
      </c>
      <c r="E53" s="10"/>
      <c r="F53" s="10" t="s">
        <v>77</v>
      </c>
      <c r="G53" s="33"/>
      <c r="H53" s="33"/>
      <c r="I53" s="34"/>
      <c r="J53" s="10" t="s">
        <v>47</v>
      </c>
      <c r="K53" s="10">
        <v>5900</v>
      </c>
      <c r="L53" s="10">
        <v>3600</v>
      </c>
      <c r="M53" s="10">
        <f>+L53+K53</f>
        <v>9500</v>
      </c>
    </row>
    <row r="54" spans="1:19" x14ac:dyDescent="0.3">
      <c r="A54" s="10">
        <v>2</v>
      </c>
      <c r="B54" s="10" t="s">
        <v>136</v>
      </c>
      <c r="C54" s="10" t="s">
        <v>44</v>
      </c>
      <c r="D54" s="10" t="s">
        <v>124</v>
      </c>
      <c r="E54" s="10"/>
      <c r="F54" s="10" t="s">
        <v>60</v>
      </c>
      <c r="G54" s="33"/>
      <c r="H54" s="33"/>
      <c r="I54" s="34"/>
      <c r="J54" s="10" t="s">
        <v>55</v>
      </c>
      <c r="K54" s="10">
        <v>4900</v>
      </c>
      <c r="L54" s="10">
        <v>1200</v>
      </c>
      <c r="M54" s="10">
        <f t="shared" ref="M54:M76" si="3">+L54+K54</f>
        <v>6100</v>
      </c>
    </row>
    <row r="55" spans="1:19" x14ac:dyDescent="0.3">
      <c r="A55" s="10">
        <v>3</v>
      </c>
      <c r="B55" s="10" t="s">
        <v>136</v>
      </c>
      <c r="C55" s="10" t="s">
        <v>86</v>
      </c>
      <c r="D55" s="10" t="s">
        <v>71</v>
      </c>
      <c r="E55" s="10"/>
      <c r="F55" s="10" t="s">
        <v>57</v>
      </c>
      <c r="G55" s="33"/>
      <c r="H55" s="34">
        <v>9122</v>
      </c>
      <c r="I55" s="34"/>
      <c r="J55" s="10" t="s">
        <v>73</v>
      </c>
      <c r="K55" s="10">
        <v>8500</v>
      </c>
      <c r="L55" s="10">
        <v>4800</v>
      </c>
      <c r="M55" s="10">
        <f t="shared" si="3"/>
        <v>13300</v>
      </c>
    </row>
    <row r="56" spans="1:19" x14ac:dyDescent="0.3">
      <c r="A56" s="10">
        <v>4</v>
      </c>
      <c r="B56" s="10" t="s">
        <v>136</v>
      </c>
      <c r="C56" s="10" t="s">
        <v>86</v>
      </c>
      <c r="D56" s="10" t="s">
        <v>71</v>
      </c>
      <c r="E56" s="10"/>
      <c r="F56" s="10" t="s">
        <v>60</v>
      </c>
      <c r="G56" s="33"/>
      <c r="H56" s="34">
        <v>3042</v>
      </c>
      <c r="I56" s="34"/>
      <c r="J56" s="10" t="s">
        <v>55</v>
      </c>
      <c r="K56" s="10">
        <v>5000</v>
      </c>
      <c r="L56" s="10">
        <v>2400</v>
      </c>
      <c r="M56" s="10">
        <f t="shared" si="3"/>
        <v>7400</v>
      </c>
    </row>
    <row r="57" spans="1:19" x14ac:dyDescent="0.3">
      <c r="A57" s="10">
        <v>5</v>
      </c>
      <c r="B57" s="10" t="s">
        <v>137</v>
      </c>
      <c r="C57" s="10" t="s">
        <v>43</v>
      </c>
      <c r="D57" s="10" t="s">
        <v>44</v>
      </c>
      <c r="E57" s="10"/>
      <c r="F57" s="10" t="s">
        <v>57</v>
      </c>
      <c r="G57" s="33"/>
      <c r="H57" s="34">
        <v>6090</v>
      </c>
      <c r="I57" s="34"/>
      <c r="J57" s="10" t="s">
        <v>47</v>
      </c>
      <c r="K57" s="10">
        <v>7500</v>
      </c>
      <c r="L57" s="10">
        <v>3600</v>
      </c>
      <c r="M57" s="10">
        <f t="shared" si="3"/>
        <v>11100</v>
      </c>
    </row>
    <row r="58" spans="1:19" x14ac:dyDescent="0.3">
      <c r="A58" s="10">
        <v>6</v>
      </c>
      <c r="B58" s="10" t="s">
        <v>137</v>
      </c>
      <c r="C58" s="10" t="s">
        <v>43</v>
      </c>
      <c r="D58" s="10" t="s">
        <v>44</v>
      </c>
      <c r="E58" s="10"/>
      <c r="F58" s="10" t="s">
        <v>77</v>
      </c>
      <c r="G58" s="33"/>
      <c r="H58" s="34">
        <v>6287</v>
      </c>
      <c r="I58" s="34"/>
      <c r="J58" s="10" t="s">
        <v>47</v>
      </c>
      <c r="K58" s="10">
        <v>7500</v>
      </c>
      <c r="L58" s="10">
        <v>3600</v>
      </c>
      <c r="M58" s="10">
        <f t="shared" si="3"/>
        <v>11100</v>
      </c>
    </row>
    <row r="59" spans="1:19" x14ac:dyDescent="0.3">
      <c r="A59" s="10">
        <v>7</v>
      </c>
      <c r="B59" s="10" t="s">
        <v>137</v>
      </c>
      <c r="C59" s="10" t="s">
        <v>43</v>
      </c>
      <c r="D59" s="10" t="s">
        <v>44</v>
      </c>
      <c r="E59" s="10"/>
      <c r="F59" s="10" t="s">
        <v>92</v>
      </c>
      <c r="G59" s="33"/>
      <c r="H59" s="34">
        <v>6015</v>
      </c>
      <c r="I59" s="34"/>
      <c r="J59" s="10" t="s">
        <v>47</v>
      </c>
      <c r="K59" s="10">
        <v>7500</v>
      </c>
      <c r="L59" s="10">
        <v>3600</v>
      </c>
      <c r="M59" s="10">
        <f t="shared" si="3"/>
        <v>11100</v>
      </c>
    </row>
    <row r="60" spans="1:19" x14ac:dyDescent="0.3">
      <c r="A60" s="10">
        <v>8</v>
      </c>
      <c r="B60" s="10" t="s">
        <v>138</v>
      </c>
      <c r="C60" s="10" t="s">
        <v>43</v>
      </c>
      <c r="D60" s="10" t="s">
        <v>44</v>
      </c>
      <c r="E60" s="10"/>
      <c r="F60" s="10" t="s">
        <v>57</v>
      </c>
      <c r="G60" s="33"/>
      <c r="H60" s="34">
        <v>6125</v>
      </c>
      <c r="I60" s="34"/>
      <c r="J60" s="10" t="s">
        <v>47</v>
      </c>
      <c r="K60" s="10">
        <v>7500</v>
      </c>
      <c r="L60" s="10">
        <v>3600</v>
      </c>
      <c r="M60" s="10">
        <f t="shared" si="3"/>
        <v>11100</v>
      </c>
    </row>
    <row r="61" spans="1:19" x14ac:dyDescent="0.3">
      <c r="A61" s="10">
        <v>9</v>
      </c>
      <c r="B61" s="10" t="s">
        <v>138</v>
      </c>
      <c r="C61" s="10" t="s">
        <v>43</v>
      </c>
      <c r="D61" s="10" t="s">
        <v>44</v>
      </c>
      <c r="E61" s="10"/>
      <c r="F61" s="10" t="s">
        <v>125</v>
      </c>
      <c r="G61" s="33"/>
      <c r="H61" s="34">
        <v>6140</v>
      </c>
      <c r="I61" s="34"/>
      <c r="J61" s="10" t="s">
        <v>47</v>
      </c>
      <c r="K61" s="10">
        <v>7500</v>
      </c>
      <c r="L61" s="10">
        <v>3600</v>
      </c>
      <c r="M61" s="10">
        <f t="shared" si="3"/>
        <v>11100</v>
      </c>
    </row>
    <row r="62" spans="1:19" x14ac:dyDescent="0.3">
      <c r="A62" s="10">
        <v>10</v>
      </c>
      <c r="B62" s="10" t="s">
        <v>138</v>
      </c>
      <c r="C62" s="10" t="s">
        <v>43</v>
      </c>
      <c r="D62" s="10" t="s">
        <v>44</v>
      </c>
      <c r="E62" s="10"/>
      <c r="F62" s="10" t="s">
        <v>54</v>
      </c>
      <c r="G62" s="33"/>
      <c r="H62" s="34">
        <v>6023</v>
      </c>
      <c r="I62" s="34"/>
      <c r="J62" s="10" t="s">
        <v>47</v>
      </c>
      <c r="K62" s="10">
        <v>7500</v>
      </c>
      <c r="L62" s="10">
        <v>3600</v>
      </c>
      <c r="M62" s="10">
        <f t="shared" si="3"/>
        <v>11100</v>
      </c>
    </row>
    <row r="63" spans="1:19" x14ac:dyDescent="0.3">
      <c r="A63" s="10">
        <v>11</v>
      </c>
      <c r="B63" s="10" t="s">
        <v>138</v>
      </c>
      <c r="C63" s="10" t="s">
        <v>43</v>
      </c>
      <c r="D63" s="10" t="s">
        <v>44</v>
      </c>
      <c r="E63" s="10"/>
      <c r="F63" s="10" t="s">
        <v>92</v>
      </c>
      <c r="G63" s="33"/>
      <c r="H63" s="34">
        <v>6111</v>
      </c>
      <c r="I63" s="34"/>
      <c r="J63" s="10" t="s">
        <v>47</v>
      </c>
      <c r="K63" s="10">
        <v>7500</v>
      </c>
      <c r="L63" s="10">
        <v>3600</v>
      </c>
      <c r="M63" s="10">
        <f t="shared" si="3"/>
        <v>11100</v>
      </c>
    </row>
    <row r="64" spans="1:19" x14ac:dyDescent="0.3">
      <c r="A64" s="10">
        <v>12</v>
      </c>
      <c r="B64" s="10" t="s">
        <v>138</v>
      </c>
      <c r="C64" s="10" t="s">
        <v>71</v>
      </c>
      <c r="D64" s="10" t="s">
        <v>44</v>
      </c>
      <c r="E64" s="10"/>
      <c r="F64" s="10" t="s">
        <v>77</v>
      </c>
      <c r="G64" s="33"/>
      <c r="H64" s="34">
        <v>4338</v>
      </c>
      <c r="I64" s="34"/>
      <c r="J64" s="10" t="s">
        <v>46</v>
      </c>
      <c r="K64" s="10">
        <v>7500</v>
      </c>
      <c r="L64" s="10">
        <v>2400</v>
      </c>
      <c r="M64" s="10">
        <f t="shared" si="3"/>
        <v>9900</v>
      </c>
      <c r="S64" t="s">
        <v>147</v>
      </c>
    </row>
    <row r="65" spans="1:19" x14ac:dyDescent="0.3">
      <c r="A65" s="10">
        <v>13</v>
      </c>
      <c r="B65" s="10" t="s">
        <v>139</v>
      </c>
      <c r="C65" s="10" t="s">
        <v>86</v>
      </c>
      <c r="D65" s="10" t="s">
        <v>71</v>
      </c>
      <c r="E65" s="10"/>
      <c r="F65" s="10" t="s">
        <v>77</v>
      </c>
      <c r="G65" s="33"/>
      <c r="H65" s="33">
        <v>6081</v>
      </c>
      <c r="I65" s="34"/>
      <c r="J65" s="10" t="s">
        <v>47</v>
      </c>
      <c r="K65" s="10">
        <v>7500</v>
      </c>
      <c r="L65" s="10">
        <v>3600</v>
      </c>
      <c r="M65" s="10">
        <f t="shared" si="3"/>
        <v>11100</v>
      </c>
    </row>
    <row r="66" spans="1:19" x14ac:dyDescent="0.3">
      <c r="A66" s="10">
        <v>14</v>
      </c>
      <c r="B66" s="10" t="s">
        <v>139</v>
      </c>
      <c r="C66" s="10" t="s">
        <v>86</v>
      </c>
      <c r="D66" s="10" t="s">
        <v>71</v>
      </c>
      <c r="E66" s="10"/>
      <c r="F66" s="10" t="s">
        <v>92</v>
      </c>
      <c r="G66" s="33"/>
      <c r="H66" s="33">
        <v>6081</v>
      </c>
      <c r="I66" s="34"/>
      <c r="J66" s="10" t="s">
        <v>47</v>
      </c>
      <c r="K66" s="10">
        <v>7500</v>
      </c>
      <c r="L66" s="10">
        <v>3600</v>
      </c>
      <c r="M66" s="10">
        <f t="shared" si="3"/>
        <v>11100</v>
      </c>
    </row>
    <row r="67" spans="1:19" x14ac:dyDescent="0.3">
      <c r="A67" s="10">
        <v>15</v>
      </c>
      <c r="B67" s="10" t="s">
        <v>140</v>
      </c>
      <c r="C67" s="10" t="s">
        <v>44</v>
      </c>
      <c r="D67" s="10" t="s">
        <v>65</v>
      </c>
      <c r="E67" s="10"/>
      <c r="F67" s="10" t="s">
        <v>77</v>
      </c>
      <c r="G67" s="33"/>
      <c r="H67" s="33"/>
      <c r="I67" s="34"/>
      <c r="J67" s="10" t="s">
        <v>55</v>
      </c>
      <c r="K67" s="10">
        <v>5000</v>
      </c>
      <c r="L67" s="10">
        <v>2400</v>
      </c>
      <c r="M67" s="10">
        <f t="shared" si="3"/>
        <v>7400</v>
      </c>
    </row>
    <row r="68" spans="1:19" x14ac:dyDescent="0.3">
      <c r="A68" s="10">
        <v>16</v>
      </c>
      <c r="B68" s="10" t="s">
        <v>140</v>
      </c>
      <c r="C68" s="10" t="s">
        <v>141</v>
      </c>
      <c r="D68" s="10" t="s">
        <v>44</v>
      </c>
      <c r="E68" s="10"/>
      <c r="F68" s="10" t="s">
        <v>60</v>
      </c>
      <c r="G68" s="33"/>
      <c r="H68" s="33"/>
      <c r="I68" s="34"/>
      <c r="J68" s="10" t="s">
        <v>63</v>
      </c>
      <c r="K68" s="10">
        <v>4000</v>
      </c>
      <c r="L68" s="10">
        <v>1200</v>
      </c>
      <c r="M68" s="10">
        <f t="shared" si="3"/>
        <v>5200</v>
      </c>
      <c r="S68" t="s">
        <v>148</v>
      </c>
    </row>
    <row r="69" spans="1:19" x14ac:dyDescent="0.3">
      <c r="A69" s="10">
        <v>17</v>
      </c>
      <c r="B69" s="10" t="s">
        <v>142</v>
      </c>
      <c r="C69" s="10" t="s">
        <v>43</v>
      </c>
      <c r="D69" s="10" t="s">
        <v>44</v>
      </c>
      <c r="E69" s="10"/>
      <c r="F69" s="10" t="s">
        <v>125</v>
      </c>
      <c r="G69" s="33"/>
      <c r="H69" s="33">
        <v>5989</v>
      </c>
      <c r="I69" s="34"/>
      <c r="J69" s="10" t="s">
        <v>47</v>
      </c>
      <c r="K69" s="10">
        <v>7500</v>
      </c>
      <c r="L69" s="10">
        <v>3600</v>
      </c>
      <c r="M69" s="10">
        <f t="shared" si="3"/>
        <v>11100</v>
      </c>
    </row>
    <row r="70" spans="1:19" x14ac:dyDescent="0.3">
      <c r="A70" s="10">
        <v>18</v>
      </c>
      <c r="B70" s="10" t="s">
        <v>142</v>
      </c>
      <c r="C70" s="10" t="s">
        <v>43</v>
      </c>
      <c r="D70" s="10" t="s">
        <v>44</v>
      </c>
      <c r="E70" s="10"/>
      <c r="F70" s="10" t="s">
        <v>77</v>
      </c>
      <c r="G70" s="33"/>
      <c r="H70" s="33">
        <v>6334</v>
      </c>
      <c r="I70" s="34"/>
      <c r="J70" s="10" t="s">
        <v>47</v>
      </c>
      <c r="K70" s="10">
        <v>7500</v>
      </c>
      <c r="L70" s="10">
        <v>3600</v>
      </c>
      <c r="M70" s="10">
        <f t="shared" si="3"/>
        <v>11100</v>
      </c>
    </row>
    <row r="71" spans="1:19" x14ac:dyDescent="0.3">
      <c r="A71" s="10">
        <v>19</v>
      </c>
      <c r="B71" s="10" t="s">
        <v>143</v>
      </c>
      <c r="C71" s="10" t="s">
        <v>71</v>
      </c>
      <c r="D71" s="10" t="s">
        <v>44</v>
      </c>
      <c r="E71" s="10"/>
      <c r="F71" s="10" t="s">
        <v>57</v>
      </c>
      <c r="G71" s="33"/>
      <c r="H71" s="33">
        <v>6480</v>
      </c>
      <c r="I71" s="34"/>
      <c r="J71" s="10" t="s">
        <v>47</v>
      </c>
      <c r="K71" s="10">
        <v>7500</v>
      </c>
      <c r="L71" s="10">
        <v>3600</v>
      </c>
      <c r="M71" s="10">
        <f t="shared" si="3"/>
        <v>11100</v>
      </c>
    </row>
    <row r="72" spans="1:19" x14ac:dyDescent="0.3">
      <c r="A72" s="10">
        <v>20</v>
      </c>
      <c r="B72" s="10" t="s">
        <v>143</v>
      </c>
      <c r="C72" s="10" t="s">
        <v>71</v>
      </c>
      <c r="D72" s="10" t="s">
        <v>44</v>
      </c>
      <c r="E72" s="10"/>
      <c r="F72" s="10" t="s">
        <v>77</v>
      </c>
      <c r="G72" s="33"/>
      <c r="H72" s="33">
        <v>6168</v>
      </c>
      <c r="I72" s="34"/>
      <c r="J72" s="10" t="s">
        <v>47</v>
      </c>
      <c r="K72" s="10">
        <v>7500</v>
      </c>
      <c r="L72" s="10">
        <v>3600</v>
      </c>
      <c r="M72" s="10">
        <f t="shared" si="3"/>
        <v>11100</v>
      </c>
    </row>
    <row r="73" spans="1:19" x14ac:dyDescent="0.3">
      <c r="A73" s="10">
        <v>21</v>
      </c>
      <c r="B73" s="10" t="s">
        <v>144</v>
      </c>
      <c r="C73" s="10" t="s">
        <v>43</v>
      </c>
      <c r="D73" s="10" t="s">
        <v>44</v>
      </c>
      <c r="E73" s="10"/>
      <c r="F73" s="10" t="s">
        <v>125</v>
      </c>
      <c r="G73" s="33"/>
      <c r="H73" s="33">
        <v>6480</v>
      </c>
      <c r="I73" s="34"/>
      <c r="J73" s="10" t="s">
        <v>47</v>
      </c>
      <c r="K73" s="10">
        <v>7500</v>
      </c>
      <c r="L73" s="10">
        <v>3600</v>
      </c>
      <c r="M73" s="10">
        <f t="shared" si="3"/>
        <v>11100</v>
      </c>
    </row>
    <row r="74" spans="1:19" x14ac:dyDescent="0.3">
      <c r="A74" s="10">
        <v>22</v>
      </c>
      <c r="B74" s="10" t="s">
        <v>144</v>
      </c>
      <c r="C74" s="10" t="s">
        <v>44</v>
      </c>
      <c r="D74" s="10" t="s">
        <v>124</v>
      </c>
      <c r="E74" s="10"/>
      <c r="F74" s="10" t="s">
        <v>77</v>
      </c>
      <c r="G74" s="33"/>
      <c r="H74" s="33"/>
      <c r="I74" s="34"/>
      <c r="J74" s="10" t="s">
        <v>47</v>
      </c>
      <c r="K74" s="10">
        <v>6200</v>
      </c>
      <c r="L74" s="10">
        <v>3600</v>
      </c>
      <c r="M74" s="10">
        <f t="shared" si="3"/>
        <v>9800</v>
      </c>
    </row>
    <row r="75" spans="1:19" x14ac:dyDescent="0.3">
      <c r="A75" s="10">
        <v>23</v>
      </c>
      <c r="B75" s="10" t="s">
        <v>144</v>
      </c>
      <c r="C75" s="10" t="s">
        <v>44</v>
      </c>
      <c r="D75" s="10" t="s">
        <v>145</v>
      </c>
      <c r="E75" s="10"/>
      <c r="F75" s="10" t="s">
        <v>57</v>
      </c>
      <c r="G75" s="33"/>
      <c r="H75" s="33"/>
      <c r="I75" s="34"/>
      <c r="J75" s="10" t="s">
        <v>47</v>
      </c>
      <c r="K75" s="10">
        <v>9000</v>
      </c>
      <c r="L75" s="10">
        <v>3600</v>
      </c>
      <c r="M75" s="10">
        <f t="shared" si="3"/>
        <v>12600</v>
      </c>
    </row>
    <row r="76" spans="1:19" x14ac:dyDescent="0.3">
      <c r="A76" s="10">
        <v>24</v>
      </c>
      <c r="B76" s="10" t="s">
        <v>146</v>
      </c>
      <c r="C76" s="10" t="s">
        <v>44</v>
      </c>
      <c r="D76" s="10" t="s">
        <v>124</v>
      </c>
      <c r="E76" s="10"/>
      <c r="F76" s="10" t="s">
        <v>60</v>
      </c>
      <c r="G76" s="50"/>
      <c r="H76" s="50"/>
      <c r="I76" s="10"/>
      <c r="J76" s="10" t="s">
        <v>55</v>
      </c>
      <c r="K76" s="10">
        <v>4900</v>
      </c>
      <c r="L76" s="10">
        <v>1200</v>
      </c>
      <c r="M76" s="10">
        <f t="shared" si="3"/>
        <v>6100</v>
      </c>
    </row>
    <row r="77" spans="1:19" x14ac:dyDescent="0.3">
      <c r="J77" s="28" t="s">
        <v>41</v>
      </c>
      <c r="K77" s="38">
        <f>SUM(K53:K76)</f>
        <v>165900</v>
      </c>
      <c r="L77" s="38">
        <f>SUM(L53:L76)</f>
        <v>76800</v>
      </c>
      <c r="M77" s="38">
        <f>SUM(M53:M76)</f>
        <v>242700</v>
      </c>
    </row>
    <row r="80" spans="1:19" x14ac:dyDescent="0.3">
      <c r="J80" s="9" t="s">
        <v>158</v>
      </c>
      <c r="K80" s="9">
        <f t="shared" ref="K80:L80" si="4">+K77+K23+K47</f>
        <v>412900</v>
      </c>
      <c r="L80" s="9">
        <f t="shared" si="4"/>
        <v>184800</v>
      </c>
      <c r="M80" s="9">
        <f>+M77+M23+M47</f>
        <v>597700</v>
      </c>
    </row>
    <row r="82" spans="13:13" x14ac:dyDescent="0.3">
      <c r="M82">
        <f>2.75+1.76</f>
        <v>4.51</v>
      </c>
    </row>
    <row r="83" spans="13:13" x14ac:dyDescent="0.3">
      <c r="M83">
        <f>5.97-4.51</f>
        <v>1.46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4DED-AB29-4559-9126-9F5AF055EC76}">
  <sheetPr>
    <pageSetUpPr fitToPage="1"/>
  </sheetPr>
  <dimension ref="A1:W81"/>
  <sheetViews>
    <sheetView showGridLines="0" topLeftCell="A73" zoomScale="102" zoomScaleNormal="100" workbookViewId="0">
      <selection activeCell="A73" sqref="A73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0.21875" hidden="1" customWidth="1"/>
    <col min="6" max="6" width="13.77734375" customWidth="1"/>
    <col min="7" max="7" width="9.44140625" style="31" hidden="1" customWidth="1"/>
    <col min="8" max="8" width="10.21875" style="31" hidden="1" customWidth="1"/>
    <col min="9" max="9" width="10.44140625" style="31" hidden="1" customWidth="1"/>
    <col min="10" max="10" width="11" bestFit="1" customWidth="1"/>
    <col min="13" max="13" width="9.77734375" customWidth="1"/>
    <col min="14" max="14" width="22.77734375" hidden="1" customWidth="1"/>
    <col min="15" max="18" width="9.21875" hidden="1" customWidth="1"/>
    <col min="19" max="20" width="9.21875" customWidth="1"/>
  </cols>
  <sheetData>
    <row r="1" spans="1:23" x14ac:dyDescent="0.3">
      <c r="A1" s="8" t="s">
        <v>208</v>
      </c>
      <c r="O1" s="35"/>
      <c r="P1" s="35" t="s">
        <v>106</v>
      </c>
      <c r="Q1" s="35"/>
    </row>
    <row r="2" spans="1:23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7" t="s">
        <v>29</v>
      </c>
      <c r="F2" s="26" t="s">
        <v>30</v>
      </c>
      <c r="G2" s="32" t="s">
        <v>31</v>
      </c>
      <c r="H2" s="32" t="s">
        <v>32</v>
      </c>
      <c r="I2" s="32" t="s">
        <v>33</v>
      </c>
      <c r="J2" s="27" t="s">
        <v>34</v>
      </c>
      <c r="K2" s="26" t="s">
        <v>35</v>
      </c>
      <c r="L2" s="26" t="s">
        <v>36</v>
      </c>
      <c r="M2" s="27" t="s">
        <v>37</v>
      </c>
      <c r="N2" s="26" t="s">
        <v>87</v>
      </c>
      <c r="O2" s="27" t="s">
        <v>39</v>
      </c>
      <c r="P2" s="27" t="s">
        <v>40</v>
      </c>
      <c r="Q2" s="26" t="s">
        <v>41</v>
      </c>
      <c r="R2" t="s">
        <v>38</v>
      </c>
    </row>
    <row r="3" spans="1:23" x14ac:dyDescent="0.3">
      <c r="A3" s="10">
        <v>1</v>
      </c>
      <c r="B3" s="10" t="s">
        <v>178</v>
      </c>
      <c r="C3" s="10" t="s">
        <v>43</v>
      </c>
      <c r="D3" s="10" t="s">
        <v>44</v>
      </c>
      <c r="E3" s="10"/>
      <c r="F3" s="10" t="s">
        <v>77</v>
      </c>
      <c r="G3" s="33"/>
      <c r="H3" s="33">
        <v>6509</v>
      </c>
      <c r="I3" s="34" t="s">
        <v>118</v>
      </c>
      <c r="J3" s="10" t="s">
        <v>47</v>
      </c>
      <c r="K3" s="10">
        <v>7500</v>
      </c>
      <c r="L3" s="10">
        <v>3600</v>
      </c>
      <c r="M3" s="10">
        <f>+L3+K3</f>
        <v>11100</v>
      </c>
      <c r="N3" s="10"/>
      <c r="O3" s="10"/>
      <c r="P3" s="10"/>
      <c r="Q3" s="10"/>
    </row>
    <row r="4" spans="1:23" x14ac:dyDescent="0.3">
      <c r="A4" s="10">
        <v>2</v>
      </c>
      <c r="B4" s="10" t="s">
        <v>178</v>
      </c>
      <c r="C4" s="10" t="s">
        <v>43</v>
      </c>
      <c r="D4" s="10" t="s">
        <v>44</v>
      </c>
      <c r="E4" s="10"/>
      <c r="F4" s="10" t="s">
        <v>92</v>
      </c>
      <c r="G4" s="33"/>
      <c r="H4" s="33">
        <v>6566</v>
      </c>
      <c r="I4" s="34" t="s">
        <v>118</v>
      </c>
      <c r="J4" s="10" t="s">
        <v>47</v>
      </c>
      <c r="K4" s="10">
        <v>7500</v>
      </c>
      <c r="L4" s="10">
        <f>1200*3</f>
        <v>3600</v>
      </c>
      <c r="M4" s="10">
        <f t="shared" ref="M4:M31" si="0">+L4+K4</f>
        <v>11100</v>
      </c>
      <c r="N4" s="10"/>
      <c r="O4" s="10"/>
      <c r="P4" s="10"/>
      <c r="Q4" s="10"/>
    </row>
    <row r="5" spans="1:23" x14ac:dyDescent="0.3">
      <c r="A5" s="10">
        <v>3</v>
      </c>
      <c r="B5" s="10" t="s">
        <v>178</v>
      </c>
      <c r="C5" s="10" t="s">
        <v>43</v>
      </c>
      <c r="D5" s="10" t="s">
        <v>44</v>
      </c>
      <c r="E5" s="10"/>
      <c r="F5" s="10" t="s">
        <v>125</v>
      </c>
      <c r="G5" s="33"/>
      <c r="H5" s="33"/>
      <c r="I5" s="34"/>
      <c r="J5" s="10" t="s">
        <v>47</v>
      </c>
      <c r="K5" s="10">
        <v>7500</v>
      </c>
      <c r="L5" s="10">
        <v>3600</v>
      </c>
      <c r="M5" s="10">
        <f t="shared" si="0"/>
        <v>11100</v>
      </c>
      <c r="N5" s="10"/>
      <c r="O5" s="10"/>
      <c r="P5" s="10"/>
      <c r="Q5" s="10"/>
      <c r="V5">
        <v>6000</v>
      </c>
      <c r="W5">
        <v>5000</v>
      </c>
    </row>
    <row r="6" spans="1:23" x14ac:dyDescent="0.3">
      <c r="A6" s="10">
        <v>4</v>
      </c>
      <c r="B6" s="10" t="s">
        <v>178</v>
      </c>
      <c r="C6" s="10" t="s">
        <v>86</v>
      </c>
      <c r="D6" s="10" t="s">
        <v>71</v>
      </c>
      <c r="E6" s="10"/>
      <c r="F6" s="10" t="s">
        <v>57</v>
      </c>
      <c r="G6" s="33"/>
      <c r="H6" s="33">
        <v>6221</v>
      </c>
      <c r="I6" s="34"/>
      <c r="J6" s="10" t="s">
        <v>73</v>
      </c>
      <c r="K6" s="10">
        <v>8500</v>
      </c>
      <c r="L6" s="10">
        <v>4800</v>
      </c>
      <c r="M6" s="10">
        <f t="shared" si="0"/>
        <v>13300</v>
      </c>
      <c r="N6" s="10"/>
      <c r="O6" s="10"/>
      <c r="P6" s="10"/>
      <c r="Q6" s="10"/>
      <c r="V6">
        <v>5500</v>
      </c>
      <c r="W6">
        <v>5000</v>
      </c>
    </row>
    <row r="7" spans="1:23" x14ac:dyDescent="0.3">
      <c r="A7" s="10">
        <v>5</v>
      </c>
      <c r="B7" s="10" t="s">
        <v>178</v>
      </c>
      <c r="C7" s="10" t="s">
        <v>86</v>
      </c>
      <c r="D7" s="10" t="s">
        <v>71</v>
      </c>
      <c r="E7" s="10"/>
      <c r="F7" s="10" t="s">
        <v>179</v>
      </c>
      <c r="G7" s="33"/>
      <c r="H7" s="33">
        <v>3164</v>
      </c>
      <c r="I7" s="34"/>
      <c r="J7" s="10" t="s">
        <v>55</v>
      </c>
      <c r="K7" s="10">
        <v>5000</v>
      </c>
      <c r="L7" s="10">
        <v>2400</v>
      </c>
      <c r="M7" s="10">
        <f t="shared" si="0"/>
        <v>7400</v>
      </c>
      <c r="N7" s="10"/>
      <c r="O7" s="10"/>
      <c r="P7" s="10"/>
      <c r="Q7" s="10"/>
      <c r="V7">
        <v>5500</v>
      </c>
      <c r="W7">
        <v>5000</v>
      </c>
    </row>
    <row r="8" spans="1:23" x14ac:dyDescent="0.3">
      <c r="A8" s="10">
        <v>6</v>
      </c>
      <c r="B8" s="10" t="s">
        <v>180</v>
      </c>
      <c r="C8" s="10" t="s">
        <v>43</v>
      </c>
      <c r="D8" s="10" t="s">
        <v>44</v>
      </c>
      <c r="E8" s="10"/>
      <c r="F8" s="10" t="s">
        <v>77</v>
      </c>
      <c r="G8" s="33"/>
      <c r="H8" s="33">
        <v>6397</v>
      </c>
      <c r="I8" s="34"/>
      <c r="J8" s="10" t="s">
        <v>47</v>
      </c>
      <c r="K8" s="10">
        <v>7500</v>
      </c>
      <c r="L8" s="10">
        <v>3600</v>
      </c>
      <c r="M8" s="10">
        <f t="shared" si="0"/>
        <v>11100</v>
      </c>
      <c r="N8" s="10"/>
      <c r="O8" s="10"/>
      <c r="P8" s="10"/>
      <c r="Q8" s="10"/>
      <c r="V8">
        <v>3500</v>
      </c>
      <c r="W8">
        <v>3500</v>
      </c>
    </row>
    <row r="9" spans="1:23" x14ac:dyDescent="0.3">
      <c r="A9" s="10">
        <v>7</v>
      </c>
      <c r="B9" s="10" t="s">
        <v>181</v>
      </c>
      <c r="C9" s="10" t="s">
        <v>43</v>
      </c>
      <c r="D9" s="10" t="s">
        <v>44</v>
      </c>
      <c r="E9" s="10"/>
      <c r="F9" s="10" t="s">
        <v>77</v>
      </c>
      <c r="G9" s="33"/>
      <c r="H9" s="33">
        <v>3164</v>
      </c>
      <c r="I9" s="34"/>
      <c r="J9" s="10" t="s">
        <v>47</v>
      </c>
      <c r="K9" s="10">
        <v>7500</v>
      </c>
      <c r="L9" s="10">
        <v>3600</v>
      </c>
      <c r="M9" s="10">
        <f t="shared" si="0"/>
        <v>11100</v>
      </c>
      <c r="N9" s="10"/>
      <c r="O9" s="10"/>
      <c r="P9" s="10"/>
      <c r="Q9" s="10"/>
      <c r="V9">
        <v>3800</v>
      </c>
      <c r="W9">
        <v>3000</v>
      </c>
    </row>
    <row r="10" spans="1:23" x14ac:dyDescent="0.3">
      <c r="A10" s="10">
        <v>8</v>
      </c>
      <c r="B10" s="10" t="s">
        <v>181</v>
      </c>
      <c r="C10" s="10" t="s">
        <v>182</v>
      </c>
      <c r="D10" s="10" t="s">
        <v>44</v>
      </c>
      <c r="E10" s="10"/>
      <c r="F10" s="10" t="s">
        <v>57</v>
      </c>
      <c r="G10" s="33"/>
      <c r="H10" s="33">
        <v>6195</v>
      </c>
      <c r="I10" s="34"/>
      <c r="J10" s="10" t="s">
        <v>55</v>
      </c>
      <c r="K10" s="10">
        <v>5200</v>
      </c>
      <c r="L10" s="10">
        <v>2400</v>
      </c>
      <c r="M10" s="10">
        <f t="shared" si="0"/>
        <v>7600</v>
      </c>
      <c r="N10" s="10"/>
      <c r="O10" s="10"/>
      <c r="P10" s="10"/>
      <c r="Q10" s="10"/>
      <c r="S10" t="s">
        <v>131</v>
      </c>
      <c r="V10">
        <v>4000</v>
      </c>
      <c r="W10">
        <v>3000</v>
      </c>
    </row>
    <row r="11" spans="1:23" x14ac:dyDescent="0.3">
      <c r="A11" s="10">
        <v>9</v>
      </c>
      <c r="B11" s="10" t="s">
        <v>183</v>
      </c>
      <c r="C11" s="10" t="s">
        <v>43</v>
      </c>
      <c r="D11" s="10" t="s">
        <v>44</v>
      </c>
      <c r="E11" s="10"/>
      <c r="F11" s="10" t="s">
        <v>57</v>
      </c>
      <c r="G11" s="33"/>
      <c r="H11" s="33">
        <v>6121</v>
      </c>
      <c r="I11" s="34"/>
      <c r="J11" s="10" t="s">
        <v>47</v>
      </c>
      <c r="K11" s="10">
        <v>7500</v>
      </c>
      <c r="L11" s="10">
        <v>3600</v>
      </c>
      <c r="M11" s="10">
        <f t="shared" si="0"/>
        <v>11100</v>
      </c>
      <c r="N11" s="10"/>
      <c r="O11" s="10"/>
      <c r="P11" s="10"/>
      <c r="Q11" s="10"/>
      <c r="V11">
        <v>4300</v>
      </c>
      <c r="W11">
        <v>3500</v>
      </c>
    </row>
    <row r="12" spans="1:23" x14ac:dyDescent="0.3">
      <c r="A12" s="10">
        <v>10</v>
      </c>
      <c r="B12" s="10" t="s">
        <v>183</v>
      </c>
      <c r="C12" s="10" t="s">
        <v>43</v>
      </c>
      <c r="D12" s="10" t="s">
        <v>44</v>
      </c>
      <c r="E12" s="10"/>
      <c r="F12" s="10" t="s">
        <v>92</v>
      </c>
      <c r="G12" s="33"/>
      <c r="H12" s="33"/>
      <c r="I12" s="34"/>
      <c r="J12" s="10" t="s">
        <v>47</v>
      </c>
      <c r="K12" s="10">
        <v>7500</v>
      </c>
      <c r="L12" s="10">
        <v>3600</v>
      </c>
      <c r="M12" s="10">
        <f t="shared" si="0"/>
        <v>11100</v>
      </c>
      <c r="N12" s="10"/>
      <c r="O12" s="10"/>
      <c r="P12" s="10"/>
      <c r="Q12" s="10"/>
      <c r="V12">
        <v>5500</v>
      </c>
      <c r="W12">
        <v>5000</v>
      </c>
    </row>
    <row r="13" spans="1:23" x14ac:dyDescent="0.3">
      <c r="A13" s="10">
        <v>11</v>
      </c>
      <c r="B13" s="10" t="s">
        <v>183</v>
      </c>
      <c r="C13" s="10" t="s">
        <v>44</v>
      </c>
      <c r="D13" s="10" t="s">
        <v>53</v>
      </c>
      <c r="E13" s="10"/>
      <c r="F13" s="10" t="s">
        <v>77</v>
      </c>
      <c r="G13" s="33"/>
      <c r="H13" s="33"/>
      <c r="I13" s="34"/>
      <c r="J13" s="10" t="s">
        <v>47</v>
      </c>
      <c r="K13" s="10">
        <v>5900</v>
      </c>
      <c r="L13" s="10">
        <v>2400</v>
      </c>
      <c r="M13" s="10">
        <f t="shared" si="0"/>
        <v>8300</v>
      </c>
      <c r="N13" s="10"/>
      <c r="O13" s="10"/>
      <c r="P13" s="10"/>
      <c r="Q13" s="10"/>
      <c r="V13">
        <v>5500</v>
      </c>
      <c r="W13">
        <v>5000</v>
      </c>
    </row>
    <row r="14" spans="1:23" x14ac:dyDescent="0.3">
      <c r="A14" s="10">
        <v>12</v>
      </c>
      <c r="B14" s="10" t="s">
        <v>184</v>
      </c>
      <c r="C14" s="10" t="s">
        <v>43</v>
      </c>
      <c r="D14" s="10" t="s">
        <v>44</v>
      </c>
      <c r="E14" s="10"/>
      <c r="F14" s="10" t="s">
        <v>57</v>
      </c>
      <c r="G14" s="33"/>
      <c r="H14" s="33">
        <v>6041</v>
      </c>
      <c r="I14" s="34"/>
      <c r="J14" s="10" t="s">
        <v>47</v>
      </c>
      <c r="K14" s="10">
        <v>7500</v>
      </c>
      <c r="L14" s="10">
        <v>3600</v>
      </c>
      <c r="M14" s="10">
        <f t="shared" si="0"/>
        <v>11100</v>
      </c>
      <c r="N14" s="10"/>
      <c r="O14" s="10"/>
      <c r="P14" s="10"/>
      <c r="Q14" s="10"/>
      <c r="V14">
        <v>2800</v>
      </c>
      <c r="W14">
        <v>2500</v>
      </c>
    </row>
    <row r="15" spans="1:23" x14ac:dyDescent="0.3">
      <c r="A15" s="10">
        <v>13</v>
      </c>
      <c r="B15" s="10" t="s">
        <v>184</v>
      </c>
      <c r="C15" s="10" t="s">
        <v>44</v>
      </c>
      <c r="D15" s="10" t="s">
        <v>53</v>
      </c>
      <c r="E15" s="10"/>
      <c r="F15" s="10" t="s">
        <v>77</v>
      </c>
      <c r="G15" s="33"/>
      <c r="H15" s="33">
        <v>6098</v>
      </c>
      <c r="I15" s="34"/>
      <c r="J15" s="10" t="s">
        <v>47</v>
      </c>
      <c r="K15" s="10">
        <v>5900</v>
      </c>
      <c r="L15" s="10">
        <v>3600</v>
      </c>
      <c r="M15" s="10">
        <f t="shared" si="0"/>
        <v>9500</v>
      </c>
      <c r="N15" s="10"/>
      <c r="O15" s="10"/>
      <c r="P15" s="10"/>
      <c r="Q15" s="10"/>
      <c r="V15">
        <v>5500</v>
      </c>
      <c r="W15">
        <v>5000</v>
      </c>
    </row>
    <row r="16" spans="1:23" x14ac:dyDescent="0.3">
      <c r="A16" s="10">
        <v>14</v>
      </c>
      <c r="B16" s="10" t="s">
        <v>184</v>
      </c>
      <c r="C16" s="10" t="s">
        <v>44</v>
      </c>
      <c r="D16" s="10" t="s">
        <v>53</v>
      </c>
      <c r="E16" s="10"/>
      <c r="F16" s="10" t="s">
        <v>57</v>
      </c>
      <c r="G16" s="33"/>
      <c r="H16" s="33"/>
      <c r="I16" s="34"/>
      <c r="J16" s="10" t="s">
        <v>47</v>
      </c>
      <c r="K16" s="10">
        <v>5900</v>
      </c>
      <c r="L16" s="10">
        <v>3600</v>
      </c>
      <c r="M16" s="10">
        <f t="shared" si="0"/>
        <v>9500</v>
      </c>
      <c r="N16" s="10"/>
      <c r="O16" s="10"/>
      <c r="P16" s="10"/>
      <c r="Q16" s="10"/>
      <c r="V16">
        <v>5500</v>
      </c>
      <c r="W16">
        <v>5000</v>
      </c>
    </row>
    <row r="17" spans="1:23" x14ac:dyDescent="0.3">
      <c r="A17" s="10">
        <v>15</v>
      </c>
      <c r="B17" s="10" t="s">
        <v>185</v>
      </c>
      <c r="C17" s="10" t="s">
        <v>44</v>
      </c>
      <c r="D17" s="10" t="s">
        <v>53</v>
      </c>
      <c r="E17" s="10"/>
      <c r="F17" s="10" t="s">
        <v>77</v>
      </c>
      <c r="G17" s="33"/>
      <c r="H17" s="33"/>
      <c r="I17" s="34"/>
      <c r="J17" s="10" t="s">
        <v>47</v>
      </c>
      <c r="K17" s="10">
        <v>5900</v>
      </c>
      <c r="L17" s="10">
        <v>3600</v>
      </c>
      <c r="M17" s="10">
        <f t="shared" si="0"/>
        <v>9500</v>
      </c>
      <c r="N17" s="10"/>
      <c r="O17" s="10"/>
      <c r="P17" s="10"/>
      <c r="Q17" s="10"/>
      <c r="V17">
        <v>5500</v>
      </c>
      <c r="W17">
        <v>5000</v>
      </c>
    </row>
    <row r="18" spans="1:23" x14ac:dyDescent="0.3">
      <c r="A18" s="10">
        <v>16</v>
      </c>
      <c r="B18" s="10" t="s">
        <v>185</v>
      </c>
      <c r="C18" s="10" t="s">
        <v>44</v>
      </c>
      <c r="D18" s="10" t="s">
        <v>53</v>
      </c>
      <c r="E18" s="10"/>
      <c r="F18" s="10" t="s">
        <v>92</v>
      </c>
      <c r="G18" s="33"/>
      <c r="H18" s="33"/>
      <c r="I18" s="34"/>
      <c r="J18" s="10" t="s">
        <v>47</v>
      </c>
      <c r="K18" s="10">
        <v>5900</v>
      </c>
      <c r="L18" s="10">
        <v>3600</v>
      </c>
      <c r="M18" s="10">
        <f t="shared" si="0"/>
        <v>9500</v>
      </c>
      <c r="N18" s="10"/>
      <c r="O18" s="10"/>
      <c r="P18" s="10"/>
      <c r="Q18" s="10"/>
      <c r="V18">
        <v>5500</v>
      </c>
      <c r="W18">
        <v>5000</v>
      </c>
    </row>
    <row r="19" spans="1:23" x14ac:dyDescent="0.3">
      <c r="A19" s="10">
        <v>17</v>
      </c>
      <c r="B19" s="10" t="s">
        <v>185</v>
      </c>
      <c r="C19" s="10" t="s">
        <v>43</v>
      </c>
      <c r="D19" s="10" t="s">
        <v>44</v>
      </c>
      <c r="E19" s="10"/>
      <c r="F19" s="10" t="s">
        <v>77</v>
      </c>
      <c r="G19" s="33"/>
      <c r="H19" s="33">
        <v>6089</v>
      </c>
      <c r="I19" s="34"/>
      <c r="J19" s="10" t="s">
        <v>47</v>
      </c>
      <c r="K19" s="10">
        <v>7500</v>
      </c>
      <c r="L19" s="10">
        <v>3600</v>
      </c>
      <c r="M19" s="10">
        <f t="shared" si="0"/>
        <v>11100</v>
      </c>
      <c r="N19" s="10"/>
      <c r="O19" s="10"/>
      <c r="P19" s="10"/>
      <c r="Q19" s="10"/>
      <c r="V19">
        <v>4000</v>
      </c>
      <c r="W19">
        <v>3500</v>
      </c>
    </row>
    <row r="20" spans="1:23" x14ac:dyDescent="0.3">
      <c r="A20" s="10">
        <v>18</v>
      </c>
      <c r="B20" s="10" t="s">
        <v>186</v>
      </c>
      <c r="C20" s="10" t="s">
        <v>43</v>
      </c>
      <c r="D20" s="10" t="s">
        <v>44</v>
      </c>
      <c r="E20" s="10"/>
      <c r="F20" s="10" t="s">
        <v>57</v>
      </c>
      <c r="G20" s="33"/>
      <c r="H20" s="33">
        <v>6107</v>
      </c>
      <c r="I20" s="34"/>
      <c r="J20" s="10" t="s">
        <v>47</v>
      </c>
      <c r="K20" s="10">
        <v>7500</v>
      </c>
      <c r="L20" s="10">
        <f>1200*3</f>
        <v>3600</v>
      </c>
      <c r="M20" s="10">
        <f t="shared" si="0"/>
        <v>11100</v>
      </c>
      <c r="N20" s="10"/>
      <c r="O20" s="10"/>
      <c r="P20" s="10"/>
      <c r="Q20" s="10"/>
      <c r="V20">
        <v>5500</v>
      </c>
      <c r="W20">
        <v>5000</v>
      </c>
    </row>
    <row r="21" spans="1:23" x14ac:dyDescent="0.3">
      <c r="A21" s="10">
        <v>19</v>
      </c>
      <c r="B21" s="10" t="s">
        <v>186</v>
      </c>
      <c r="C21" s="10" t="s">
        <v>86</v>
      </c>
      <c r="D21" s="10" t="s">
        <v>71</v>
      </c>
      <c r="E21" s="10"/>
      <c r="F21" s="10" t="s">
        <v>57</v>
      </c>
      <c r="G21" s="33"/>
      <c r="H21" s="33">
        <v>6175</v>
      </c>
      <c r="I21" s="34"/>
      <c r="J21" s="10" t="s">
        <v>73</v>
      </c>
      <c r="K21" s="10">
        <v>8500</v>
      </c>
      <c r="L21" s="10">
        <v>4800</v>
      </c>
      <c r="M21" s="10">
        <f t="shared" si="0"/>
        <v>13300</v>
      </c>
      <c r="N21" s="10"/>
      <c r="O21" s="10"/>
      <c r="P21" s="10"/>
      <c r="Q21" s="10"/>
      <c r="V21">
        <v>5000</v>
      </c>
      <c r="W21">
        <v>4500</v>
      </c>
    </row>
    <row r="22" spans="1:23" x14ac:dyDescent="0.3">
      <c r="A22" s="10">
        <v>20</v>
      </c>
      <c r="B22" s="10" t="s">
        <v>186</v>
      </c>
      <c r="C22" s="10" t="s">
        <v>86</v>
      </c>
      <c r="D22" s="10" t="s">
        <v>71</v>
      </c>
      <c r="E22" s="10"/>
      <c r="F22" s="10" t="s">
        <v>125</v>
      </c>
      <c r="G22" s="33"/>
      <c r="H22" s="33"/>
      <c r="I22" s="34"/>
      <c r="J22" s="10" t="s">
        <v>73</v>
      </c>
      <c r="K22" s="10">
        <v>8500</v>
      </c>
      <c r="L22" s="10">
        <v>4800</v>
      </c>
      <c r="M22" s="10">
        <f t="shared" si="0"/>
        <v>13300</v>
      </c>
      <c r="N22" s="10"/>
      <c r="O22" s="10"/>
      <c r="P22" s="10"/>
      <c r="Q22" s="10"/>
    </row>
    <row r="23" spans="1:23" x14ac:dyDescent="0.3">
      <c r="A23" s="10">
        <v>21</v>
      </c>
      <c r="B23" s="10" t="s">
        <v>186</v>
      </c>
      <c r="C23" s="10" t="s">
        <v>44</v>
      </c>
      <c r="D23" s="10" t="s">
        <v>53</v>
      </c>
      <c r="E23" s="10"/>
      <c r="F23" s="10" t="s">
        <v>94</v>
      </c>
      <c r="G23" s="33"/>
      <c r="H23" s="33"/>
      <c r="I23" s="34"/>
      <c r="J23" s="10" t="s">
        <v>63</v>
      </c>
      <c r="K23" s="10">
        <v>3500</v>
      </c>
      <c r="L23" s="10">
        <v>1200</v>
      </c>
      <c r="M23" s="10">
        <f t="shared" si="0"/>
        <v>4700</v>
      </c>
      <c r="N23" s="10"/>
      <c r="O23" s="10"/>
      <c r="P23" s="10"/>
      <c r="Q23" s="10"/>
    </row>
    <row r="24" spans="1:23" x14ac:dyDescent="0.3">
      <c r="A24" s="10">
        <v>22</v>
      </c>
      <c r="B24" s="10" t="s">
        <v>186</v>
      </c>
      <c r="C24" s="10" t="s">
        <v>44</v>
      </c>
      <c r="D24" s="10" t="s">
        <v>65</v>
      </c>
      <c r="E24" s="10"/>
      <c r="F24" s="10" t="s">
        <v>60</v>
      </c>
      <c r="G24" s="33"/>
      <c r="H24" s="33"/>
      <c r="I24" s="34"/>
      <c r="J24" s="10" t="s">
        <v>63</v>
      </c>
      <c r="K24" s="10">
        <v>3500</v>
      </c>
      <c r="L24" s="10">
        <v>1200</v>
      </c>
      <c r="M24" s="10">
        <f t="shared" si="0"/>
        <v>4700</v>
      </c>
      <c r="N24" s="10"/>
      <c r="O24" s="10"/>
      <c r="P24" s="10"/>
      <c r="Q24" s="10"/>
    </row>
    <row r="25" spans="1:23" x14ac:dyDescent="0.3">
      <c r="A25" s="10">
        <v>23</v>
      </c>
      <c r="B25" s="10" t="s">
        <v>187</v>
      </c>
      <c r="C25" s="10" t="s">
        <v>44</v>
      </c>
      <c r="D25" s="10" t="s">
        <v>53</v>
      </c>
      <c r="E25" s="10"/>
      <c r="F25" s="10" t="s">
        <v>77</v>
      </c>
      <c r="G25" s="33"/>
      <c r="H25" s="33"/>
      <c r="I25" s="34"/>
      <c r="J25" s="10" t="s">
        <v>47</v>
      </c>
      <c r="K25" s="10">
        <v>5900</v>
      </c>
      <c r="L25" s="10">
        <v>3600</v>
      </c>
      <c r="M25" s="10">
        <f t="shared" si="0"/>
        <v>9500</v>
      </c>
      <c r="N25" s="10"/>
      <c r="O25" s="10"/>
      <c r="P25" s="10"/>
      <c r="Q25" s="10"/>
    </row>
    <row r="26" spans="1:23" x14ac:dyDescent="0.3">
      <c r="A26" s="10">
        <v>24</v>
      </c>
      <c r="B26" s="10" t="s">
        <v>188</v>
      </c>
      <c r="C26" s="10" t="s">
        <v>44</v>
      </c>
      <c r="D26" s="10" t="s">
        <v>189</v>
      </c>
      <c r="E26" s="10"/>
      <c r="F26" s="10" t="s">
        <v>94</v>
      </c>
      <c r="G26" s="33"/>
      <c r="H26" s="33"/>
      <c r="I26" s="34"/>
      <c r="J26" s="10" t="s">
        <v>63</v>
      </c>
      <c r="K26" s="10">
        <v>5500</v>
      </c>
      <c r="L26" s="10">
        <v>1200</v>
      </c>
      <c r="M26" s="10">
        <f t="shared" si="0"/>
        <v>6700</v>
      </c>
      <c r="N26" s="10"/>
      <c r="O26" s="10"/>
      <c r="P26" s="10"/>
      <c r="Q26" s="10"/>
    </row>
    <row r="27" spans="1:23" x14ac:dyDescent="0.3">
      <c r="A27" s="10">
        <v>25</v>
      </c>
      <c r="B27" s="10" t="s">
        <v>188</v>
      </c>
      <c r="C27" s="10" t="s">
        <v>44</v>
      </c>
      <c r="D27" s="10" t="s">
        <v>53</v>
      </c>
      <c r="E27" s="10"/>
      <c r="F27" s="10" t="s">
        <v>60</v>
      </c>
      <c r="G27" s="33"/>
      <c r="H27" s="33"/>
      <c r="I27" s="34"/>
      <c r="J27" s="10" t="s">
        <v>61</v>
      </c>
      <c r="K27" s="10">
        <v>4900</v>
      </c>
      <c r="L27" s="10">
        <v>1200</v>
      </c>
      <c r="M27" s="10">
        <f t="shared" si="0"/>
        <v>6100</v>
      </c>
      <c r="N27" s="10"/>
      <c r="O27" s="10"/>
      <c r="P27" s="10"/>
      <c r="Q27" s="10"/>
    </row>
    <row r="28" spans="1:23" x14ac:dyDescent="0.3">
      <c r="A28" s="10">
        <v>26</v>
      </c>
      <c r="B28" s="10" t="s">
        <v>188</v>
      </c>
      <c r="C28" s="10" t="s">
        <v>71</v>
      </c>
      <c r="D28" s="10" t="s">
        <v>44</v>
      </c>
      <c r="E28" s="10"/>
      <c r="F28" s="10" t="s">
        <v>125</v>
      </c>
      <c r="G28" s="33"/>
      <c r="H28" s="33"/>
      <c r="I28" s="34"/>
      <c r="J28" s="10" t="s">
        <v>47</v>
      </c>
      <c r="K28" s="10">
        <v>7500</v>
      </c>
      <c r="L28" s="10">
        <v>3600</v>
      </c>
      <c r="M28" s="10">
        <f t="shared" si="0"/>
        <v>11100</v>
      </c>
      <c r="N28" s="10"/>
      <c r="O28" s="10"/>
      <c r="P28" s="10"/>
      <c r="Q28" s="10"/>
    </row>
    <row r="29" spans="1:23" x14ac:dyDescent="0.3">
      <c r="A29" s="10">
        <v>27</v>
      </c>
      <c r="B29" s="10" t="s">
        <v>188</v>
      </c>
      <c r="C29" s="10" t="s">
        <v>43</v>
      </c>
      <c r="D29" s="10" t="s">
        <v>44</v>
      </c>
      <c r="E29" s="10"/>
      <c r="F29" s="10" t="s">
        <v>77</v>
      </c>
      <c r="G29" s="33"/>
      <c r="H29" s="33"/>
      <c r="I29" s="34"/>
      <c r="J29" s="10" t="s">
        <v>47</v>
      </c>
      <c r="K29" s="10">
        <v>7500</v>
      </c>
      <c r="L29" s="10">
        <v>3600</v>
      </c>
      <c r="M29" s="10">
        <f t="shared" si="0"/>
        <v>11100</v>
      </c>
      <c r="N29" s="10"/>
      <c r="O29" s="10"/>
      <c r="P29" s="10"/>
      <c r="Q29" s="10"/>
    </row>
    <row r="30" spans="1:23" x14ac:dyDescent="0.3">
      <c r="A30" s="10">
        <v>28</v>
      </c>
      <c r="B30" s="10" t="s">
        <v>188</v>
      </c>
      <c r="C30" s="10" t="s">
        <v>86</v>
      </c>
      <c r="D30" s="10" t="s">
        <v>71</v>
      </c>
      <c r="E30" s="10"/>
      <c r="F30" s="10" t="s">
        <v>57</v>
      </c>
      <c r="G30" s="33"/>
      <c r="H30" s="33"/>
      <c r="I30" s="34"/>
      <c r="J30" s="10" t="s">
        <v>73</v>
      </c>
      <c r="K30" s="10">
        <v>8500</v>
      </c>
      <c r="L30" s="10">
        <v>4800</v>
      </c>
      <c r="M30" s="10">
        <f t="shared" si="0"/>
        <v>13300</v>
      </c>
      <c r="N30" s="10"/>
      <c r="O30" s="10"/>
      <c r="P30" s="10"/>
      <c r="Q30" s="10"/>
    </row>
    <row r="31" spans="1:23" x14ac:dyDescent="0.3">
      <c r="A31" s="10">
        <v>29</v>
      </c>
      <c r="B31" s="10" t="s">
        <v>190</v>
      </c>
      <c r="C31" s="10" t="s">
        <v>65</v>
      </c>
      <c r="D31" s="10" t="s">
        <v>44</v>
      </c>
      <c r="E31" s="10"/>
      <c r="F31" s="10" t="s">
        <v>77</v>
      </c>
      <c r="G31" s="33"/>
      <c r="H31" s="33"/>
      <c r="I31" s="34"/>
      <c r="J31" s="10" t="s">
        <v>55</v>
      </c>
      <c r="K31" s="10">
        <v>5600</v>
      </c>
      <c r="L31" s="10">
        <v>1200</v>
      </c>
      <c r="M31" s="10">
        <f t="shared" si="0"/>
        <v>6800</v>
      </c>
      <c r="N31" s="10"/>
      <c r="O31" s="10"/>
      <c r="P31" s="10"/>
      <c r="Q31" s="10"/>
      <c r="V31">
        <v>3000</v>
      </c>
      <c r="W31">
        <v>3000</v>
      </c>
    </row>
    <row r="32" spans="1:23" x14ac:dyDescent="0.3">
      <c r="J32" s="28" t="s">
        <v>41</v>
      </c>
      <c r="K32" s="9">
        <f>SUM(K3:K31)</f>
        <v>192600</v>
      </c>
      <c r="L32" s="9">
        <f>SUM(L3:L31)</f>
        <v>93600</v>
      </c>
      <c r="M32" s="9">
        <f>SUM(M3:M31)</f>
        <v>286200</v>
      </c>
      <c r="O32" s="9">
        <f>SUM(O3:O31)</f>
        <v>0</v>
      </c>
      <c r="P32" s="9">
        <f>SUM(P3:P31)</f>
        <v>0</v>
      </c>
      <c r="Q32" s="9">
        <f>SUM(Q3:Q31)</f>
        <v>0</v>
      </c>
      <c r="V32">
        <f>SUM(V3:V31)</f>
        <v>85900</v>
      </c>
      <c r="W32">
        <f>SUM(W5:W31)</f>
        <v>76500</v>
      </c>
    </row>
    <row r="33" spans="1:19" x14ac:dyDescent="0.3">
      <c r="Q33">
        <f>Q32-M32</f>
        <v>-286200</v>
      </c>
    </row>
    <row r="35" spans="1:19" x14ac:dyDescent="0.3">
      <c r="A35" s="8" t="s">
        <v>194</v>
      </c>
    </row>
    <row r="36" spans="1:19" ht="28.8" x14ac:dyDescent="0.3">
      <c r="A36" s="26" t="s">
        <v>25</v>
      </c>
      <c r="B36" s="26" t="s">
        <v>26</v>
      </c>
      <c r="C36" s="26" t="s">
        <v>27</v>
      </c>
      <c r="D36" s="26" t="s">
        <v>28</v>
      </c>
      <c r="E36" s="27" t="s">
        <v>29</v>
      </c>
      <c r="F36" s="26" t="s">
        <v>30</v>
      </c>
      <c r="G36" s="32" t="s">
        <v>31</v>
      </c>
      <c r="H36" s="32" t="s">
        <v>32</v>
      </c>
      <c r="I36" s="32" t="s">
        <v>33</v>
      </c>
      <c r="J36" s="27" t="s">
        <v>34</v>
      </c>
      <c r="K36" s="26" t="s">
        <v>35</v>
      </c>
      <c r="L36" s="26" t="s">
        <v>36</v>
      </c>
      <c r="M36" s="27" t="s">
        <v>37</v>
      </c>
    </row>
    <row r="37" spans="1:19" x14ac:dyDescent="0.3">
      <c r="A37" s="10">
        <v>1</v>
      </c>
      <c r="B37" s="10" t="s">
        <v>195</v>
      </c>
      <c r="C37" s="10" t="s">
        <v>43</v>
      </c>
      <c r="D37" s="10" t="s">
        <v>44</v>
      </c>
      <c r="E37" s="10"/>
      <c r="F37" s="10" t="s">
        <v>57</v>
      </c>
      <c r="G37" s="33"/>
      <c r="H37" s="33">
        <v>6509</v>
      </c>
      <c r="I37" s="34" t="s">
        <v>118</v>
      </c>
      <c r="J37" s="10" t="s">
        <v>47</v>
      </c>
      <c r="K37" s="10">
        <v>7500</v>
      </c>
      <c r="L37" s="10">
        <v>3600</v>
      </c>
      <c r="M37" s="10">
        <f>+L37+K37</f>
        <v>11100</v>
      </c>
    </row>
    <row r="38" spans="1:19" x14ac:dyDescent="0.3">
      <c r="A38" s="10">
        <v>2</v>
      </c>
      <c r="B38" s="10" t="s">
        <v>195</v>
      </c>
      <c r="C38" s="10" t="s">
        <v>43</v>
      </c>
      <c r="D38" s="10" t="s">
        <v>44</v>
      </c>
      <c r="E38" s="10"/>
      <c r="F38" s="10" t="s">
        <v>77</v>
      </c>
      <c r="G38" s="33"/>
      <c r="H38" s="33">
        <v>6566</v>
      </c>
      <c r="I38" s="34" t="s">
        <v>118</v>
      </c>
      <c r="J38" s="10" t="s">
        <v>47</v>
      </c>
      <c r="K38" s="10">
        <v>7500</v>
      </c>
      <c r="L38" s="10">
        <f>1200*3</f>
        <v>3600</v>
      </c>
      <c r="M38" s="10">
        <f t="shared" ref="M38:M73" si="1">+L38+K38</f>
        <v>11100</v>
      </c>
    </row>
    <row r="39" spans="1:19" x14ac:dyDescent="0.3">
      <c r="A39" s="10">
        <v>3</v>
      </c>
      <c r="B39" s="10" t="s">
        <v>195</v>
      </c>
      <c r="C39" s="10" t="s">
        <v>43</v>
      </c>
      <c r="D39" s="10" t="s">
        <v>44</v>
      </c>
      <c r="E39" s="10"/>
      <c r="F39" s="10" t="s">
        <v>125</v>
      </c>
      <c r="G39" s="33"/>
      <c r="H39" s="33"/>
      <c r="I39" s="34"/>
      <c r="J39" s="10" t="s">
        <v>47</v>
      </c>
      <c r="K39" s="10">
        <v>7500</v>
      </c>
      <c r="L39" s="10">
        <v>3600</v>
      </c>
      <c r="M39" s="10">
        <f t="shared" si="1"/>
        <v>11100</v>
      </c>
    </row>
    <row r="40" spans="1:19" x14ac:dyDescent="0.3">
      <c r="A40" s="10">
        <v>4</v>
      </c>
      <c r="B40" s="10" t="s">
        <v>196</v>
      </c>
      <c r="C40" s="10" t="s">
        <v>43</v>
      </c>
      <c r="D40" s="10" t="s">
        <v>44</v>
      </c>
      <c r="E40" s="10"/>
      <c r="F40" s="10" t="s">
        <v>77</v>
      </c>
      <c r="G40" s="33"/>
      <c r="H40" s="33">
        <v>6221</v>
      </c>
      <c r="I40" s="34"/>
      <c r="J40" s="10" t="s">
        <v>47</v>
      </c>
      <c r="K40" s="10">
        <v>7500</v>
      </c>
      <c r="L40" s="10">
        <v>3600</v>
      </c>
      <c r="M40" s="10">
        <f t="shared" si="1"/>
        <v>11100</v>
      </c>
    </row>
    <row r="41" spans="1:19" x14ac:dyDescent="0.3">
      <c r="A41" s="10">
        <v>5</v>
      </c>
      <c r="B41" s="10" t="s">
        <v>197</v>
      </c>
      <c r="C41" s="10" t="s">
        <v>86</v>
      </c>
      <c r="D41" s="10" t="s">
        <v>71</v>
      </c>
      <c r="E41" s="10"/>
      <c r="F41" s="10" t="s">
        <v>57</v>
      </c>
      <c r="G41" s="33"/>
      <c r="H41" s="33">
        <v>3164</v>
      </c>
      <c r="I41" s="34"/>
      <c r="J41" s="10" t="s">
        <v>47</v>
      </c>
      <c r="K41" s="10">
        <v>7500</v>
      </c>
      <c r="L41" s="10">
        <v>3600</v>
      </c>
      <c r="M41" s="10">
        <f t="shared" si="1"/>
        <v>11100</v>
      </c>
    </row>
    <row r="42" spans="1:19" x14ac:dyDescent="0.3">
      <c r="A42" s="10">
        <v>6</v>
      </c>
      <c r="B42" s="10" t="s">
        <v>197</v>
      </c>
      <c r="C42" s="10" t="s">
        <v>71</v>
      </c>
      <c r="D42" s="10" t="s">
        <v>44</v>
      </c>
      <c r="E42" s="10"/>
      <c r="F42" s="10" t="s">
        <v>92</v>
      </c>
      <c r="G42" s="33"/>
      <c r="H42" s="33">
        <v>6397</v>
      </c>
      <c r="I42" s="34"/>
      <c r="J42" s="10" t="s">
        <v>55</v>
      </c>
      <c r="K42" s="10">
        <v>5200</v>
      </c>
      <c r="L42" s="10">
        <v>2400</v>
      </c>
      <c r="M42" s="10">
        <f t="shared" si="1"/>
        <v>7600</v>
      </c>
    </row>
    <row r="43" spans="1:19" x14ac:dyDescent="0.3">
      <c r="A43" s="10">
        <v>7</v>
      </c>
      <c r="B43" s="10" t="s">
        <v>197</v>
      </c>
      <c r="C43" s="10" t="s">
        <v>98</v>
      </c>
      <c r="D43" s="10" t="s">
        <v>44</v>
      </c>
      <c r="E43" s="10"/>
      <c r="F43" s="10"/>
      <c r="G43" s="33"/>
      <c r="H43" s="33">
        <v>3164</v>
      </c>
      <c r="I43" s="34"/>
      <c r="J43" s="10" t="s">
        <v>55</v>
      </c>
      <c r="K43" s="10">
        <v>5200</v>
      </c>
      <c r="L43" s="10">
        <v>2400</v>
      </c>
      <c r="M43" s="10">
        <f t="shared" si="1"/>
        <v>7600</v>
      </c>
      <c r="S43" t="s">
        <v>207</v>
      </c>
    </row>
    <row r="44" spans="1:19" x14ac:dyDescent="0.3">
      <c r="A44" s="10">
        <v>8</v>
      </c>
      <c r="B44" s="10" t="s">
        <v>198</v>
      </c>
      <c r="C44" s="10" t="s">
        <v>44</v>
      </c>
      <c r="D44" s="10" t="s">
        <v>53</v>
      </c>
      <c r="E44" s="10"/>
      <c r="F44" s="10" t="s">
        <v>77</v>
      </c>
      <c r="G44" s="33"/>
      <c r="H44" s="33">
        <v>6195</v>
      </c>
      <c r="I44" s="34"/>
      <c r="J44" s="10" t="s">
        <v>47</v>
      </c>
      <c r="K44" s="10">
        <v>5900</v>
      </c>
      <c r="L44" s="10">
        <v>3600</v>
      </c>
      <c r="M44" s="10">
        <f t="shared" si="1"/>
        <v>9500</v>
      </c>
    </row>
    <row r="45" spans="1:19" x14ac:dyDescent="0.3">
      <c r="A45" s="10">
        <v>9</v>
      </c>
      <c r="B45" s="10" t="s">
        <v>198</v>
      </c>
      <c r="C45" s="10" t="s">
        <v>44</v>
      </c>
      <c r="D45" s="10" t="s">
        <v>53</v>
      </c>
      <c r="E45" s="10"/>
      <c r="F45" s="10" t="s">
        <v>57</v>
      </c>
      <c r="G45" s="33"/>
      <c r="H45" s="33">
        <v>6121</v>
      </c>
      <c r="I45" s="34"/>
      <c r="J45" s="10" t="s">
        <v>47</v>
      </c>
      <c r="K45" s="10">
        <v>5900</v>
      </c>
      <c r="L45" s="10">
        <v>3600</v>
      </c>
      <c r="M45" s="10">
        <f t="shared" si="1"/>
        <v>9500</v>
      </c>
    </row>
    <row r="46" spans="1:19" x14ac:dyDescent="0.3">
      <c r="A46" s="10">
        <v>10</v>
      </c>
      <c r="B46" s="10" t="s">
        <v>198</v>
      </c>
      <c r="C46" s="10" t="s">
        <v>43</v>
      </c>
      <c r="D46" s="10" t="s">
        <v>44</v>
      </c>
      <c r="E46" s="10"/>
      <c r="F46" s="10" t="s">
        <v>57</v>
      </c>
      <c r="G46" s="33"/>
      <c r="H46" s="33"/>
      <c r="I46" s="34"/>
      <c r="J46" s="10" t="s">
        <v>47</v>
      </c>
      <c r="K46" s="10">
        <v>7500</v>
      </c>
      <c r="L46" s="10">
        <v>3600</v>
      </c>
      <c r="M46" s="10">
        <f t="shared" si="1"/>
        <v>11100</v>
      </c>
    </row>
    <row r="47" spans="1:19" x14ac:dyDescent="0.3">
      <c r="A47" s="10">
        <v>11</v>
      </c>
      <c r="B47" s="10" t="s">
        <v>198</v>
      </c>
      <c r="C47" s="10" t="s">
        <v>71</v>
      </c>
      <c r="D47" s="10" t="s">
        <v>44</v>
      </c>
      <c r="E47" s="10"/>
      <c r="F47" s="10" t="s">
        <v>92</v>
      </c>
      <c r="G47" s="33"/>
      <c r="H47" s="33"/>
      <c r="I47" s="34"/>
      <c r="J47" s="10" t="s">
        <v>55</v>
      </c>
      <c r="K47" s="10">
        <v>5200</v>
      </c>
      <c r="L47" s="10">
        <v>2400</v>
      </c>
      <c r="M47" s="10">
        <f t="shared" si="1"/>
        <v>7600</v>
      </c>
    </row>
    <row r="48" spans="1:19" x14ac:dyDescent="0.3">
      <c r="A48" s="10">
        <v>12</v>
      </c>
      <c r="B48" s="10" t="s">
        <v>199</v>
      </c>
      <c r="C48" s="10" t="s">
        <v>86</v>
      </c>
      <c r="D48" s="10" t="s">
        <v>71</v>
      </c>
      <c r="E48" s="10"/>
      <c r="F48" s="10" t="s">
        <v>57</v>
      </c>
      <c r="G48" s="33"/>
      <c r="H48" s="33">
        <v>6041</v>
      </c>
      <c r="I48" s="34"/>
      <c r="J48" s="10" t="s">
        <v>47</v>
      </c>
      <c r="K48" s="10">
        <v>7500</v>
      </c>
      <c r="L48" s="10">
        <v>3600</v>
      </c>
      <c r="M48" s="10">
        <f t="shared" si="1"/>
        <v>11100</v>
      </c>
    </row>
    <row r="49" spans="1:13" x14ac:dyDescent="0.3">
      <c r="A49" s="10">
        <v>13</v>
      </c>
      <c r="B49" s="10" t="s">
        <v>199</v>
      </c>
      <c r="C49" s="10" t="s">
        <v>43</v>
      </c>
      <c r="D49" s="10" t="s">
        <v>44</v>
      </c>
      <c r="E49" s="10"/>
      <c r="F49" s="10" t="s">
        <v>77</v>
      </c>
      <c r="G49" s="33"/>
      <c r="H49" s="33">
        <v>6098</v>
      </c>
      <c r="I49" s="34"/>
      <c r="J49" s="10" t="s">
        <v>47</v>
      </c>
      <c r="K49" s="10">
        <v>7500</v>
      </c>
      <c r="L49" s="10">
        <v>3600</v>
      </c>
      <c r="M49" s="10">
        <f t="shared" si="1"/>
        <v>11100</v>
      </c>
    </row>
    <row r="50" spans="1:13" x14ac:dyDescent="0.3">
      <c r="A50" s="10">
        <v>14</v>
      </c>
      <c r="B50" s="10" t="s">
        <v>199</v>
      </c>
      <c r="C50" s="10" t="s">
        <v>44</v>
      </c>
      <c r="D50" s="10" t="s">
        <v>53</v>
      </c>
      <c r="E50" s="10"/>
      <c r="F50" s="10" t="s">
        <v>60</v>
      </c>
      <c r="G50" s="33"/>
      <c r="H50" s="33"/>
      <c r="I50" s="34"/>
      <c r="J50" s="10" t="s">
        <v>61</v>
      </c>
      <c r="K50" s="10">
        <v>4900</v>
      </c>
      <c r="L50" s="10">
        <v>1200</v>
      </c>
      <c r="M50" s="10">
        <f t="shared" si="1"/>
        <v>6100</v>
      </c>
    </row>
    <row r="51" spans="1:13" x14ac:dyDescent="0.3">
      <c r="A51" s="10">
        <v>15</v>
      </c>
      <c r="B51" s="10" t="s">
        <v>199</v>
      </c>
      <c r="C51" s="10" t="s">
        <v>71</v>
      </c>
      <c r="D51" s="10" t="s">
        <v>44</v>
      </c>
      <c r="E51" s="10"/>
      <c r="F51" s="10" t="s">
        <v>92</v>
      </c>
      <c r="G51" s="33"/>
      <c r="H51" s="33"/>
      <c r="I51" s="34"/>
      <c r="J51" s="10" t="s">
        <v>47</v>
      </c>
      <c r="K51" s="10">
        <v>7500</v>
      </c>
      <c r="L51" s="10">
        <v>3600</v>
      </c>
      <c r="M51" s="10">
        <f t="shared" si="1"/>
        <v>11100</v>
      </c>
    </row>
    <row r="52" spans="1:13" x14ac:dyDescent="0.3">
      <c r="A52" s="10">
        <v>16</v>
      </c>
      <c r="B52" s="10" t="s">
        <v>200</v>
      </c>
      <c r="C52" s="10" t="s">
        <v>43</v>
      </c>
      <c r="D52" s="10" t="s">
        <v>44</v>
      </c>
      <c r="E52" s="10"/>
      <c r="F52" s="10" t="s">
        <v>57</v>
      </c>
      <c r="G52" s="33"/>
      <c r="H52" s="33"/>
      <c r="I52" s="34"/>
      <c r="J52" s="10" t="s">
        <v>47</v>
      </c>
      <c r="K52" s="10">
        <v>7500</v>
      </c>
      <c r="L52" s="10">
        <v>3600</v>
      </c>
      <c r="M52" s="10">
        <f t="shared" si="1"/>
        <v>11100</v>
      </c>
    </row>
    <row r="53" spans="1:13" x14ac:dyDescent="0.3">
      <c r="A53" s="10">
        <v>17</v>
      </c>
      <c r="B53" s="10" t="s">
        <v>200</v>
      </c>
      <c r="C53" s="10" t="s">
        <v>43</v>
      </c>
      <c r="D53" s="10" t="s">
        <v>44</v>
      </c>
      <c r="E53" s="10"/>
      <c r="F53" s="10" t="s">
        <v>92</v>
      </c>
      <c r="G53" s="33"/>
      <c r="H53" s="33">
        <v>6089</v>
      </c>
      <c r="I53" s="34"/>
      <c r="J53" s="10" t="s">
        <v>47</v>
      </c>
      <c r="K53" s="10">
        <v>7500</v>
      </c>
      <c r="L53" s="10">
        <v>3600</v>
      </c>
      <c r="M53" s="10">
        <f t="shared" si="1"/>
        <v>11100</v>
      </c>
    </row>
    <row r="54" spans="1:13" x14ac:dyDescent="0.3">
      <c r="A54" s="10">
        <v>18</v>
      </c>
      <c r="B54" s="10" t="s">
        <v>200</v>
      </c>
      <c r="C54" s="10" t="s">
        <v>43</v>
      </c>
      <c r="D54" s="10" t="s">
        <v>44</v>
      </c>
      <c r="E54" s="10"/>
      <c r="F54" s="10" t="s">
        <v>54</v>
      </c>
      <c r="G54" s="33"/>
      <c r="H54" s="33">
        <v>6107</v>
      </c>
      <c r="I54" s="34"/>
      <c r="J54" s="10" t="s">
        <v>47</v>
      </c>
      <c r="K54" s="10">
        <v>7500</v>
      </c>
      <c r="L54" s="10">
        <f>1200*3</f>
        <v>3600</v>
      </c>
      <c r="M54" s="10">
        <f t="shared" si="1"/>
        <v>11100</v>
      </c>
    </row>
    <row r="55" spans="1:13" x14ac:dyDescent="0.3">
      <c r="A55" s="10">
        <v>19</v>
      </c>
      <c r="B55" s="10" t="s">
        <v>200</v>
      </c>
      <c r="C55" s="10" t="s">
        <v>71</v>
      </c>
      <c r="D55" s="10" t="s">
        <v>44</v>
      </c>
      <c r="E55" s="10"/>
      <c r="F55" s="10" t="s">
        <v>77</v>
      </c>
      <c r="G55" s="33"/>
      <c r="H55" s="33">
        <v>6175</v>
      </c>
      <c r="I55" s="34"/>
      <c r="J55" s="10" t="s">
        <v>55</v>
      </c>
      <c r="K55" s="10">
        <v>5200</v>
      </c>
      <c r="L55" s="10">
        <v>2400</v>
      </c>
      <c r="M55" s="10">
        <f t="shared" si="1"/>
        <v>7600</v>
      </c>
    </row>
    <row r="56" spans="1:13" x14ac:dyDescent="0.3">
      <c r="A56" s="10">
        <v>20</v>
      </c>
      <c r="B56" s="10" t="s">
        <v>201</v>
      </c>
      <c r="C56" s="10" t="s">
        <v>43</v>
      </c>
      <c r="D56" s="10" t="s">
        <v>44</v>
      </c>
      <c r="E56" s="10"/>
      <c r="F56" s="10" t="s">
        <v>57</v>
      </c>
      <c r="G56" s="33"/>
      <c r="H56" s="33"/>
      <c r="I56" s="34"/>
      <c r="J56" s="10" t="s">
        <v>47</v>
      </c>
      <c r="K56" s="10">
        <v>7500</v>
      </c>
      <c r="L56" s="10">
        <v>3600</v>
      </c>
      <c r="M56" s="10">
        <f t="shared" si="1"/>
        <v>11100</v>
      </c>
    </row>
    <row r="57" spans="1:13" x14ac:dyDescent="0.3">
      <c r="A57" s="10">
        <v>21</v>
      </c>
      <c r="B57" s="10" t="s">
        <v>201</v>
      </c>
      <c r="C57" s="10" t="s">
        <v>43</v>
      </c>
      <c r="D57" s="10" t="s">
        <v>44</v>
      </c>
      <c r="E57" s="10"/>
      <c r="F57" s="10" t="s">
        <v>77</v>
      </c>
      <c r="G57" s="33"/>
      <c r="H57" s="33"/>
      <c r="I57" s="34"/>
      <c r="J57" s="10" t="s">
        <v>47</v>
      </c>
      <c r="K57" s="10">
        <v>7500</v>
      </c>
      <c r="L57" s="10">
        <v>3600</v>
      </c>
      <c r="M57" s="10">
        <f t="shared" si="1"/>
        <v>11100</v>
      </c>
    </row>
    <row r="58" spans="1:13" x14ac:dyDescent="0.3">
      <c r="A58" s="10">
        <v>22</v>
      </c>
      <c r="B58" s="10" t="s">
        <v>201</v>
      </c>
      <c r="C58" s="10" t="s">
        <v>71</v>
      </c>
      <c r="D58" s="10" t="s">
        <v>44</v>
      </c>
      <c r="E58" s="10"/>
      <c r="F58" s="10" t="s">
        <v>92</v>
      </c>
      <c r="G58" s="33"/>
      <c r="H58" s="33"/>
      <c r="I58" s="34"/>
      <c r="J58" s="10" t="s">
        <v>47</v>
      </c>
      <c r="K58" s="10">
        <v>7500</v>
      </c>
      <c r="L58" s="10">
        <v>3600</v>
      </c>
      <c r="M58" s="10">
        <f t="shared" si="1"/>
        <v>11100</v>
      </c>
    </row>
    <row r="59" spans="1:13" x14ac:dyDescent="0.3">
      <c r="A59" s="10">
        <v>23</v>
      </c>
      <c r="B59" s="10" t="s">
        <v>202</v>
      </c>
      <c r="C59" s="10" t="s">
        <v>43</v>
      </c>
      <c r="D59" s="10" t="s">
        <v>44</v>
      </c>
      <c r="E59" s="10"/>
      <c r="F59" s="10" t="s">
        <v>77</v>
      </c>
      <c r="G59" s="33"/>
      <c r="H59" s="33"/>
      <c r="I59" s="34"/>
      <c r="J59" s="10" t="s">
        <v>47</v>
      </c>
      <c r="K59" s="10">
        <v>7500</v>
      </c>
      <c r="L59" s="10">
        <v>3600</v>
      </c>
      <c r="M59" s="10">
        <f t="shared" si="1"/>
        <v>11100</v>
      </c>
    </row>
    <row r="60" spans="1:13" x14ac:dyDescent="0.3">
      <c r="A60" s="10">
        <v>24</v>
      </c>
      <c r="B60" s="10" t="s">
        <v>202</v>
      </c>
      <c r="C60" s="10" t="s">
        <v>44</v>
      </c>
      <c r="D60" s="10" t="s">
        <v>53</v>
      </c>
      <c r="E60" s="10"/>
      <c r="F60" s="10" t="s">
        <v>92</v>
      </c>
      <c r="G60" s="33"/>
      <c r="H60" s="33"/>
      <c r="I60" s="34"/>
      <c r="J60" s="10" t="s">
        <v>47</v>
      </c>
      <c r="K60" s="10">
        <v>5900</v>
      </c>
      <c r="L60" s="10">
        <v>3600</v>
      </c>
      <c r="M60" s="10">
        <f t="shared" si="1"/>
        <v>9500</v>
      </c>
    </row>
    <row r="61" spans="1:13" x14ac:dyDescent="0.3">
      <c r="A61" s="10">
        <v>25</v>
      </c>
      <c r="B61" s="10" t="s">
        <v>202</v>
      </c>
      <c r="C61" s="10" t="s">
        <v>71</v>
      </c>
      <c r="D61" s="10" t="s">
        <v>44</v>
      </c>
      <c r="E61" s="10"/>
      <c r="F61" s="10" t="s">
        <v>54</v>
      </c>
      <c r="G61" s="33"/>
      <c r="H61" s="33"/>
      <c r="I61" s="34"/>
      <c r="J61" s="10" t="s">
        <v>47</v>
      </c>
      <c r="K61" s="10">
        <v>7500</v>
      </c>
      <c r="L61" s="10">
        <v>3600</v>
      </c>
      <c r="M61" s="10">
        <f t="shared" si="1"/>
        <v>11100</v>
      </c>
    </row>
    <row r="62" spans="1:13" x14ac:dyDescent="0.3">
      <c r="A62" s="10">
        <v>26</v>
      </c>
      <c r="B62" s="10" t="s">
        <v>203</v>
      </c>
      <c r="C62" s="10" t="s">
        <v>43</v>
      </c>
      <c r="D62" s="10" t="s">
        <v>44</v>
      </c>
      <c r="E62" s="10"/>
      <c r="F62" s="10" t="s">
        <v>77</v>
      </c>
      <c r="G62" s="33"/>
      <c r="H62" s="33"/>
      <c r="I62" s="34"/>
      <c r="J62" s="10" t="s">
        <v>47</v>
      </c>
      <c r="K62" s="10">
        <v>7500</v>
      </c>
      <c r="L62" s="10">
        <v>3600</v>
      </c>
      <c r="M62" s="10">
        <f t="shared" si="1"/>
        <v>11100</v>
      </c>
    </row>
    <row r="63" spans="1:13" x14ac:dyDescent="0.3">
      <c r="A63" s="10">
        <v>27</v>
      </c>
      <c r="B63" s="10" t="s">
        <v>204</v>
      </c>
      <c r="C63" s="10" t="s">
        <v>86</v>
      </c>
      <c r="D63" s="10" t="s">
        <v>71</v>
      </c>
      <c r="E63" s="10"/>
      <c r="F63" s="10" t="s">
        <v>125</v>
      </c>
      <c r="G63" s="33"/>
      <c r="H63" s="33"/>
      <c r="I63" s="34"/>
      <c r="J63" s="10" t="s">
        <v>73</v>
      </c>
      <c r="K63" s="10">
        <v>8500</v>
      </c>
      <c r="L63" s="10">
        <v>4800</v>
      </c>
      <c r="M63" s="10">
        <f t="shared" si="1"/>
        <v>13300</v>
      </c>
    </row>
    <row r="64" spans="1:13" x14ac:dyDescent="0.3">
      <c r="A64" s="10">
        <v>28</v>
      </c>
      <c r="B64" s="10" t="s">
        <v>204</v>
      </c>
      <c r="C64" s="10" t="s">
        <v>86</v>
      </c>
      <c r="D64" s="10" t="s">
        <v>71</v>
      </c>
      <c r="E64" s="10"/>
      <c r="F64" s="10" t="s">
        <v>57</v>
      </c>
      <c r="G64" s="33"/>
      <c r="H64" s="33"/>
      <c r="I64" s="34"/>
      <c r="J64" s="10" t="s">
        <v>73</v>
      </c>
      <c r="K64" s="10">
        <v>8500</v>
      </c>
      <c r="L64" s="10">
        <v>4800</v>
      </c>
      <c r="M64" s="10">
        <f t="shared" si="1"/>
        <v>13300</v>
      </c>
    </row>
    <row r="65" spans="1:13" x14ac:dyDescent="0.3">
      <c r="A65" s="10">
        <v>29</v>
      </c>
      <c r="B65" s="10" t="s">
        <v>204</v>
      </c>
      <c r="C65" s="10" t="s">
        <v>71</v>
      </c>
      <c r="D65" s="10" t="s">
        <v>44</v>
      </c>
      <c r="E65" s="10"/>
      <c r="F65" s="10" t="s">
        <v>77</v>
      </c>
      <c r="G65" s="33"/>
      <c r="H65" s="33"/>
      <c r="I65" s="34"/>
      <c r="J65" s="10" t="s">
        <v>47</v>
      </c>
      <c r="K65" s="10">
        <v>7500</v>
      </c>
      <c r="L65" s="10">
        <v>3600</v>
      </c>
      <c r="M65" s="10">
        <f t="shared" si="1"/>
        <v>11100</v>
      </c>
    </row>
    <row r="66" spans="1:13" x14ac:dyDescent="0.3">
      <c r="A66" s="10">
        <v>30</v>
      </c>
      <c r="B66" s="10" t="s">
        <v>205</v>
      </c>
      <c r="C66" s="10" t="s">
        <v>86</v>
      </c>
      <c r="D66" s="10" t="s">
        <v>71</v>
      </c>
      <c r="E66" s="10"/>
      <c r="F66" s="10" t="s">
        <v>125</v>
      </c>
      <c r="G66" s="33"/>
      <c r="H66" s="33"/>
      <c r="I66" s="34"/>
      <c r="J66" s="10" t="s">
        <v>73</v>
      </c>
      <c r="K66" s="10">
        <v>8500</v>
      </c>
      <c r="L66" s="10">
        <v>4800</v>
      </c>
      <c r="M66" s="10">
        <f t="shared" si="1"/>
        <v>13300</v>
      </c>
    </row>
    <row r="67" spans="1:13" x14ac:dyDescent="0.3">
      <c r="A67" s="10">
        <v>31</v>
      </c>
      <c r="B67" s="10" t="s">
        <v>205</v>
      </c>
      <c r="C67" s="10" t="s">
        <v>86</v>
      </c>
      <c r="D67" s="10" t="s">
        <v>71</v>
      </c>
      <c r="E67" s="10"/>
      <c r="F67" s="10" t="s">
        <v>77</v>
      </c>
      <c r="G67" s="33"/>
      <c r="H67" s="33"/>
      <c r="I67" s="34"/>
      <c r="J67" s="10" t="s">
        <v>73</v>
      </c>
      <c r="K67" s="10">
        <v>8500</v>
      </c>
      <c r="L67" s="10">
        <v>4800</v>
      </c>
      <c r="M67" s="10">
        <f t="shared" si="1"/>
        <v>13300</v>
      </c>
    </row>
    <row r="68" spans="1:13" x14ac:dyDescent="0.3">
      <c r="A68" s="10">
        <v>32</v>
      </c>
      <c r="B68" s="10" t="s">
        <v>206</v>
      </c>
      <c r="C68" s="10" t="s">
        <v>86</v>
      </c>
      <c r="D68" s="10" t="s">
        <v>71</v>
      </c>
      <c r="E68" s="10"/>
      <c r="F68" s="10" t="s">
        <v>92</v>
      </c>
      <c r="G68" s="33"/>
      <c r="H68" s="33"/>
      <c r="I68" s="34"/>
      <c r="J68" s="10" t="s">
        <v>47</v>
      </c>
      <c r="K68" s="10">
        <v>7500</v>
      </c>
      <c r="L68" s="10">
        <v>3600</v>
      </c>
      <c r="M68" s="10">
        <f t="shared" si="1"/>
        <v>11100</v>
      </c>
    </row>
    <row r="69" spans="1:13" x14ac:dyDescent="0.3">
      <c r="A69" s="10">
        <v>33</v>
      </c>
      <c r="B69" s="10" t="s">
        <v>206</v>
      </c>
      <c r="C69" s="10" t="s">
        <v>86</v>
      </c>
      <c r="D69" s="10" t="s">
        <v>71</v>
      </c>
      <c r="E69" s="10"/>
      <c r="F69" s="10" t="s">
        <v>125</v>
      </c>
      <c r="G69" s="33"/>
      <c r="H69" s="33"/>
      <c r="I69" s="34"/>
      <c r="J69" s="10" t="s">
        <v>47</v>
      </c>
      <c r="K69" s="10">
        <v>7500</v>
      </c>
      <c r="L69" s="10">
        <v>3600</v>
      </c>
      <c r="M69" s="10">
        <f t="shared" si="1"/>
        <v>11100</v>
      </c>
    </row>
    <row r="70" spans="1:13" x14ac:dyDescent="0.3">
      <c r="A70" s="10">
        <v>34</v>
      </c>
      <c r="B70" s="10" t="s">
        <v>206</v>
      </c>
      <c r="C70" s="10" t="s">
        <v>86</v>
      </c>
      <c r="D70" s="10" t="s">
        <v>71</v>
      </c>
      <c r="E70" s="10"/>
      <c r="F70" s="10" t="s">
        <v>54</v>
      </c>
      <c r="G70" s="33"/>
      <c r="H70" s="33"/>
      <c r="I70" s="34"/>
      <c r="J70" s="10" t="s">
        <v>47</v>
      </c>
      <c r="K70" s="10">
        <v>7500</v>
      </c>
      <c r="L70" s="10">
        <v>3600</v>
      </c>
      <c r="M70" s="10">
        <f t="shared" si="1"/>
        <v>11100</v>
      </c>
    </row>
    <row r="71" spans="1:13" x14ac:dyDescent="0.3">
      <c r="A71" s="10">
        <v>35</v>
      </c>
      <c r="B71" s="10" t="s">
        <v>206</v>
      </c>
      <c r="C71" s="10" t="s">
        <v>44</v>
      </c>
      <c r="D71" s="10" t="s">
        <v>53</v>
      </c>
      <c r="E71" s="10"/>
      <c r="F71" s="10" t="s">
        <v>77</v>
      </c>
      <c r="G71" s="33"/>
      <c r="H71" s="33"/>
      <c r="I71" s="34"/>
      <c r="J71" s="10" t="s">
        <v>47</v>
      </c>
      <c r="K71" s="10">
        <v>5900</v>
      </c>
      <c r="L71" s="10">
        <v>3600</v>
      </c>
      <c r="M71" s="10">
        <f t="shared" si="1"/>
        <v>9500</v>
      </c>
    </row>
    <row r="72" spans="1:13" x14ac:dyDescent="0.3">
      <c r="A72" s="10">
        <v>36</v>
      </c>
      <c r="B72" s="10" t="s">
        <v>206</v>
      </c>
      <c r="C72" s="10" t="s">
        <v>44</v>
      </c>
      <c r="D72" s="10" t="s">
        <v>53</v>
      </c>
      <c r="F72" s="10" t="s">
        <v>94</v>
      </c>
      <c r="G72" s="33"/>
      <c r="H72" s="33"/>
      <c r="I72" s="34"/>
      <c r="J72" s="10" t="s">
        <v>63</v>
      </c>
      <c r="K72" s="10">
        <v>3500</v>
      </c>
      <c r="L72" s="10">
        <v>1200</v>
      </c>
      <c r="M72" s="10">
        <f t="shared" si="1"/>
        <v>4700</v>
      </c>
    </row>
    <row r="73" spans="1:13" x14ac:dyDescent="0.3">
      <c r="A73" s="10">
        <v>37</v>
      </c>
      <c r="B73" s="10" t="s">
        <v>206</v>
      </c>
      <c r="C73" s="10" t="s">
        <v>44</v>
      </c>
      <c r="D73" s="10" t="s">
        <v>53</v>
      </c>
      <c r="F73" s="10" t="s">
        <v>209</v>
      </c>
      <c r="G73" s="33"/>
      <c r="H73" s="33"/>
      <c r="I73" s="34"/>
      <c r="J73" s="10" t="s">
        <v>63</v>
      </c>
      <c r="K73" s="10">
        <v>3500</v>
      </c>
      <c r="L73" s="10">
        <v>1200</v>
      </c>
      <c r="M73" s="10">
        <f t="shared" si="1"/>
        <v>4700</v>
      </c>
    </row>
    <row r="74" spans="1:13" x14ac:dyDescent="0.3">
      <c r="J74" s="28" t="s">
        <v>41</v>
      </c>
      <c r="K74" s="38">
        <f t="shared" ref="K74:L74" si="2">SUM(K37:K73)</f>
        <v>255300</v>
      </c>
      <c r="L74" s="9">
        <f t="shared" si="2"/>
        <v>126000</v>
      </c>
      <c r="M74" s="9">
        <f>SUM(M37:M73)</f>
        <v>381300</v>
      </c>
    </row>
    <row r="76" spans="1:13" x14ac:dyDescent="0.3">
      <c r="K76" s="8">
        <f>+K74+K32</f>
        <v>447900</v>
      </c>
      <c r="L76" s="8">
        <f t="shared" ref="L76:M76" si="3">+L74+L32</f>
        <v>219600</v>
      </c>
      <c r="M76" s="8">
        <f t="shared" si="3"/>
        <v>667500</v>
      </c>
    </row>
    <row r="78" spans="1:13" x14ac:dyDescent="0.3">
      <c r="K78" s="8">
        <f>+K76+'May''25'!K80+'April''25'!K55</f>
        <v>1161200</v>
      </c>
      <c r="L78" s="8">
        <f>+L76+'May''25'!L80+'April''25'!L55</f>
        <v>547200</v>
      </c>
      <c r="M78" s="8">
        <f>+M76+'May''25'!M80+'April''25'!M55</f>
        <v>1708400</v>
      </c>
    </row>
    <row r="79" spans="1:13" x14ac:dyDescent="0.3">
      <c r="K79">
        <v>774900</v>
      </c>
      <c r="L79">
        <v>535620</v>
      </c>
      <c r="M79">
        <f>+L79+K79</f>
        <v>1310520</v>
      </c>
    </row>
    <row r="80" spans="1:13" x14ac:dyDescent="0.3">
      <c r="K80">
        <v>100000</v>
      </c>
      <c r="M80">
        <f>+M78-M79</f>
        <v>397880</v>
      </c>
    </row>
    <row r="81" spans="13:13" x14ac:dyDescent="0.3">
      <c r="M81">
        <f>+M80-K80</f>
        <v>297880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77B2-480B-450F-B17C-E028B928FD9A}">
  <sheetPr>
    <pageSetUpPr fitToPage="1"/>
  </sheetPr>
  <dimension ref="A1:I89"/>
  <sheetViews>
    <sheetView showGridLines="0" topLeftCell="A75" zoomScaleNormal="100" workbookViewId="0">
      <selection activeCell="J92" sqref="J92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9" x14ac:dyDescent="0.3">
      <c r="A1" s="8" t="s">
        <v>212</v>
      </c>
    </row>
    <row r="2" spans="1:9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213</v>
      </c>
      <c r="C3" s="10" t="s">
        <v>71</v>
      </c>
      <c r="D3" s="10" t="s">
        <v>44</v>
      </c>
      <c r="E3" s="10" t="s">
        <v>77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9" x14ac:dyDescent="0.3">
      <c r="A4" s="10">
        <v>2</v>
      </c>
      <c r="B4" s="10" t="s">
        <v>213</v>
      </c>
      <c r="C4" s="10" t="s">
        <v>44</v>
      </c>
      <c r="D4" s="10" t="s">
        <v>65</v>
      </c>
      <c r="E4" s="10" t="s">
        <v>60</v>
      </c>
      <c r="F4" s="10" t="s">
        <v>55</v>
      </c>
      <c r="G4" s="10">
        <v>5000</v>
      </c>
      <c r="H4" s="10">
        <v>1200</v>
      </c>
      <c r="I4" s="10">
        <f t="shared" ref="I4:I32" si="0">+H4+G4</f>
        <v>6200</v>
      </c>
    </row>
    <row r="5" spans="1:9" x14ac:dyDescent="0.3">
      <c r="A5" s="10">
        <v>3</v>
      </c>
      <c r="B5" s="10" t="s">
        <v>214</v>
      </c>
      <c r="C5" s="10" t="s">
        <v>43</v>
      </c>
      <c r="D5" s="10" t="s">
        <v>44</v>
      </c>
      <c r="E5" s="10" t="s">
        <v>77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9" x14ac:dyDescent="0.3">
      <c r="A6" s="10">
        <v>4</v>
      </c>
      <c r="B6" s="10" t="s">
        <v>214</v>
      </c>
      <c r="C6" s="10" t="s">
        <v>44</v>
      </c>
      <c r="D6" s="10" t="s">
        <v>65</v>
      </c>
      <c r="E6" s="10" t="s">
        <v>60</v>
      </c>
      <c r="F6" s="10" t="s">
        <v>55</v>
      </c>
      <c r="G6" s="10">
        <v>5000</v>
      </c>
      <c r="H6" s="10">
        <v>1200</v>
      </c>
      <c r="I6" s="10">
        <f t="shared" si="0"/>
        <v>6200</v>
      </c>
    </row>
    <row r="7" spans="1:9" x14ac:dyDescent="0.3">
      <c r="A7" s="10">
        <v>5</v>
      </c>
      <c r="B7" s="10" t="s">
        <v>215</v>
      </c>
      <c r="C7" s="10" t="s">
        <v>71</v>
      </c>
      <c r="D7" s="10" t="s">
        <v>44</v>
      </c>
      <c r="E7" s="10" t="s">
        <v>77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9" x14ac:dyDescent="0.3">
      <c r="A8" s="10">
        <v>6</v>
      </c>
      <c r="B8" s="10" t="s">
        <v>215</v>
      </c>
      <c r="C8" s="10" t="s">
        <v>43</v>
      </c>
      <c r="D8" s="10" t="s">
        <v>44</v>
      </c>
      <c r="E8" s="10" t="s">
        <v>92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9" x14ac:dyDescent="0.3">
      <c r="A9" s="10">
        <v>7</v>
      </c>
      <c r="B9" s="10" t="s">
        <v>215</v>
      </c>
      <c r="C9" s="10" t="s">
        <v>44</v>
      </c>
      <c r="D9" s="10" t="s">
        <v>53</v>
      </c>
      <c r="E9" s="10" t="s">
        <v>57</v>
      </c>
      <c r="F9" s="10" t="s">
        <v>47</v>
      </c>
      <c r="G9" s="10">
        <v>5900</v>
      </c>
      <c r="H9" s="10">
        <v>3600</v>
      </c>
      <c r="I9" s="10">
        <f t="shared" si="0"/>
        <v>9500</v>
      </c>
    </row>
    <row r="10" spans="1:9" x14ac:dyDescent="0.3">
      <c r="A10" s="10">
        <v>8</v>
      </c>
      <c r="B10" s="10" t="s">
        <v>215</v>
      </c>
      <c r="C10" s="10" t="s">
        <v>44</v>
      </c>
      <c r="D10" s="10" t="s">
        <v>65</v>
      </c>
      <c r="E10" s="10" t="s">
        <v>60</v>
      </c>
      <c r="F10" s="10" t="s">
        <v>55</v>
      </c>
      <c r="G10" s="10">
        <v>5000</v>
      </c>
      <c r="H10" s="10">
        <v>1200</v>
      </c>
      <c r="I10" s="10">
        <f t="shared" si="0"/>
        <v>6200</v>
      </c>
    </row>
    <row r="11" spans="1:9" x14ac:dyDescent="0.3">
      <c r="A11" s="10">
        <v>9</v>
      </c>
      <c r="B11" s="10" t="s">
        <v>216</v>
      </c>
      <c r="C11" s="10" t="s">
        <v>43</v>
      </c>
      <c r="D11" s="10" t="s">
        <v>44</v>
      </c>
      <c r="E11" s="10" t="s">
        <v>57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9" x14ac:dyDescent="0.3">
      <c r="A12" s="10">
        <v>10</v>
      </c>
      <c r="B12" s="10" t="s">
        <v>216</v>
      </c>
      <c r="C12" s="10" t="s">
        <v>43</v>
      </c>
      <c r="D12" s="10" t="s">
        <v>44</v>
      </c>
      <c r="E12" s="10" t="s">
        <v>92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9" x14ac:dyDescent="0.3">
      <c r="A13" s="10">
        <v>11</v>
      </c>
      <c r="B13" s="10" t="s">
        <v>216</v>
      </c>
      <c r="C13" s="10" t="s">
        <v>43</v>
      </c>
      <c r="D13" s="10" t="s">
        <v>44</v>
      </c>
      <c r="E13" s="10" t="s">
        <v>125</v>
      </c>
      <c r="F13" s="10" t="s">
        <v>47</v>
      </c>
      <c r="G13" s="10">
        <v>7500</v>
      </c>
      <c r="H13" s="10">
        <v>3600</v>
      </c>
      <c r="I13" s="10">
        <f t="shared" si="0"/>
        <v>11100</v>
      </c>
    </row>
    <row r="14" spans="1:9" x14ac:dyDescent="0.3">
      <c r="A14" s="10">
        <v>12</v>
      </c>
      <c r="B14" s="10" t="s">
        <v>216</v>
      </c>
      <c r="C14" s="10" t="s">
        <v>71</v>
      </c>
      <c r="D14" s="10" t="s">
        <v>44</v>
      </c>
      <c r="E14" s="10" t="s">
        <v>77</v>
      </c>
      <c r="F14" s="10" t="s">
        <v>47</v>
      </c>
      <c r="G14" s="10">
        <v>7500</v>
      </c>
      <c r="H14" s="10">
        <v>3600</v>
      </c>
      <c r="I14" s="10">
        <f t="shared" si="0"/>
        <v>11100</v>
      </c>
    </row>
    <row r="15" spans="1:9" x14ac:dyDescent="0.3">
      <c r="A15" s="10">
        <v>13</v>
      </c>
      <c r="B15" s="10" t="s">
        <v>216</v>
      </c>
      <c r="C15" s="10" t="s">
        <v>44</v>
      </c>
      <c r="D15" s="10" t="s">
        <v>65</v>
      </c>
      <c r="E15" s="10" t="s">
        <v>60</v>
      </c>
      <c r="F15" s="10" t="s">
        <v>55</v>
      </c>
      <c r="G15" s="10">
        <v>5000</v>
      </c>
      <c r="H15" s="10">
        <v>1200</v>
      </c>
      <c r="I15" s="10">
        <f t="shared" si="0"/>
        <v>6200</v>
      </c>
    </row>
    <row r="16" spans="1:9" x14ac:dyDescent="0.3">
      <c r="A16" s="10">
        <v>14</v>
      </c>
      <c r="B16" s="10" t="s">
        <v>217</v>
      </c>
      <c r="C16" s="10" t="s">
        <v>71</v>
      </c>
      <c r="D16" s="10" t="s">
        <v>44</v>
      </c>
      <c r="E16" s="10" t="s">
        <v>92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217</v>
      </c>
      <c r="C17" s="10" t="s">
        <v>43</v>
      </c>
      <c r="D17" s="10" t="s">
        <v>44</v>
      </c>
      <c r="E17" s="10" t="s">
        <v>57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10" t="s">
        <v>217</v>
      </c>
      <c r="C18" s="10" t="s">
        <v>86</v>
      </c>
      <c r="D18" s="10" t="s">
        <v>71</v>
      </c>
      <c r="E18" s="10" t="s">
        <v>125</v>
      </c>
      <c r="F18" s="10" t="s">
        <v>47</v>
      </c>
      <c r="G18" s="10">
        <v>8500</v>
      </c>
      <c r="H18" s="10">
        <v>3600</v>
      </c>
      <c r="I18" s="10">
        <f t="shared" si="0"/>
        <v>12100</v>
      </c>
    </row>
    <row r="19" spans="1:9" x14ac:dyDescent="0.3">
      <c r="A19" s="10">
        <v>17</v>
      </c>
      <c r="B19" s="10" t="s">
        <v>217</v>
      </c>
      <c r="C19" s="10" t="s">
        <v>86</v>
      </c>
      <c r="D19" s="10" t="s">
        <v>71</v>
      </c>
      <c r="E19" s="10" t="s">
        <v>218</v>
      </c>
      <c r="F19" s="10" t="s">
        <v>47</v>
      </c>
      <c r="G19" s="10">
        <v>8500</v>
      </c>
      <c r="H19" s="10">
        <v>3600</v>
      </c>
      <c r="I19" s="10">
        <f t="shared" si="0"/>
        <v>12100</v>
      </c>
    </row>
    <row r="20" spans="1:9" x14ac:dyDescent="0.3">
      <c r="A20" s="10">
        <v>18</v>
      </c>
      <c r="B20" s="10" t="s">
        <v>217</v>
      </c>
      <c r="C20" s="10" t="s">
        <v>44</v>
      </c>
      <c r="D20" s="10" t="s">
        <v>53</v>
      </c>
      <c r="E20" s="10" t="s">
        <v>77</v>
      </c>
      <c r="F20" s="10" t="s">
        <v>47</v>
      </c>
      <c r="G20" s="10">
        <v>5900</v>
      </c>
      <c r="H20" s="10">
        <f>1200*3</f>
        <v>3600</v>
      </c>
      <c r="I20" s="10">
        <f t="shared" si="0"/>
        <v>9500</v>
      </c>
    </row>
    <row r="21" spans="1:9" x14ac:dyDescent="0.3">
      <c r="A21" s="10">
        <v>19</v>
      </c>
      <c r="B21" s="10" t="s">
        <v>219</v>
      </c>
      <c r="C21" s="10" t="s">
        <v>43</v>
      </c>
      <c r="D21" s="10" t="s">
        <v>44</v>
      </c>
      <c r="E21" s="10" t="s">
        <v>77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10" t="s">
        <v>219</v>
      </c>
      <c r="C22" s="10" t="s">
        <v>43</v>
      </c>
      <c r="D22" s="10" t="s">
        <v>44</v>
      </c>
      <c r="E22" s="10" t="s">
        <v>125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10" t="s">
        <v>219</v>
      </c>
      <c r="C23" s="10" t="s">
        <v>71</v>
      </c>
      <c r="D23" s="10" t="s">
        <v>44</v>
      </c>
      <c r="E23" s="10" t="s">
        <v>57</v>
      </c>
      <c r="F23" s="10" t="s">
        <v>47</v>
      </c>
      <c r="G23" s="10">
        <v>7500</v>
      </c>
      <c r="H23" s="10">
        <v>3600</v>
      </c>
      <c r="I23" s="10">
        <f t="shared" si="0"/>
        <v>11100</v>
      </c>
    </row>
    <row r="24" spans="1:9" x14ac:dyDescent="0.3">
      <c r="A24" s="10">
        <v>22</v>
      </c>
      <c r="B24" s="10" t="s">
        <v>219</v>
      </c>
      <c r="C24" s="10" t="s">
        <v>71</v>
      </c>
      <c r="D24" s="10" t="s">
        <v>44</v>
      </c>
      <c r="E24" s="10" t="s">
        <v>92</v>
      </c>
      <c r="F24" s="10" t="s">
        <v>47</v>
      </c>
      <c r="G24" s="10">
        <v>7500</v>
      </c>
      <c r="H24" s="10">
        <v>3600</v>
      </c>
      <c r="I24" s="10">
        <f t="shared" si="0"/>
        <v>11100</v>
      </c>
    </row>
    <row r="25" spans="1:9" x14ac:dyDescent="0.3">
      <c r="A25" s="10">
        <v>23</v>
      </c>
      <c r="B25" s="10" t="s">
        <v>220</v>
      </c>
      <c r="C25" s="10" t="s">
        <v>43</v>
      </c>
      <c r="D25" s="10" t="s">
        <v>44</v>
      </c>
      <c r="E25" s="10" t="s">
        <v>77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221</v>
      </c>
      <c r="C26" s="10" t="s">
        <v>43</v>
      </c>
      <c r="D26" s="10" t="s">
        <v>44</v>
      </c>
      <c r="E26" s="10" t="s">
        <v>77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10" t="s">
        <v>221</v>
      </c>
      <c r="C27" s="10" t="s">
        <v>71</v>
      </c>
      <c r="D27" s="10" t="s">
        <v>44</v>
      </c>
      <c r="E27" s="10" t="s">
        <v>92</v>
      </c>
      <c r="F27" s="10" t="s">
        <v>47</v>
      </c>
      <c r="G27" s="10">
        <v>7500</v>
      </c>
      <c r="H27" s="10">
        <v>3600</v>
      </c>
      <c r="I27" s="10">
        <f t="shared" si="0"/>
        <v>11100</v>
      </c>
    </row>
    <row r="28" spans="1:9" x14ac:dyDescent="0.3">
      <c r="A28" s="10">
        <v>26</v>
      </c>
      <c r="B28" s="10" t="s">
        <v>221</v>
      </c>
      <c r="C28" s="10" t="s">
        <v>86</v>
      </c>
      <c r="D28" s="10" t="s">
        <v>71</v>
      </c>
      <c r="E28" s="10" t="s">
        <v>57</v>
      </c>
      <c r="F28" s="10" t="s">
        <v>47</v>
      </c>
      <c r="G28" s="10">
        <v>8500</v>
      </c>
      <c r="H28" s="10">
        <v>3600</v>
      </c>
      <c r="I28" s="10">
        <f t="shared" si="0"/>
        <v>12100</v>
      </c>
    </row>
    <row r="29" spans="1:9" x14ac:dyDescent="0.3">
      <c r="A29" s="10">
        <v>27</v>
      </c>
      <c r="B29" s="10" t="s">
        <v>221</v>
      </c>
      <c r="C29" s="10" t="s">
        <v>86</v>
      </c>
      <c r="D29" s="10" t="s">
        <v>71</v>
      </c>
      <c r="E29" s="10" t="s">
        <v>125</v>
      </c>
      <c r="F29" s="10" t="s">
        <v>47</v>
      </c>
      <c r="G29" s="10">
        <v>8500</v>
      </c>
      <c r="H29" s="10">
        <v>3600</v>
      </c>
      <c r="I29" s="10">
        <f t="shared" si="0"/>
        <v>12100</v>
      </c>
    </row>
    <row r="30" spans="1:9" x14ac:dyDescent="0.3">
      <c r="A30" s="10">
        <v>28</v>
      </c>
      <c r="B30" s="10" t="s">
        <v>222</v>
      </c>
      <c r="C30" s="10" t="s">
        <v>71</v>
      </c>
      <c r="D30" s="10" t="s">
        <v>44</v>
      </c>
      <c r="E30" s="10" t="s">
        <v>77</v>
      </c>
      <c r="F30" s="10" t="s">
        <v>47</v>
      </c>
      <c r="G30" s="10">
        <v>7500</v>
      </c>
      <c r="H30" s="10">
        <v>3600</v>
      </c>
      <c r="I30" s="10">
        <f t="shared" si="0"/>
        <v>11100</v>
      </c>
    </row>
    <row r="31" spans="1:9" x14ac:dyDescent="0.3">
      <c r="A31" s="10">
        <v>29</v>
      </c>
      <c r="B31" s="10" t="s">
        <v>222</v>
      </c>
      <c r="C31" s="10" t="s">
        <v>71</v>
      </c>
      <c r="D31" s="10" t="s">
        <v>44</v>
      </c>
      <c r="E31" s="10" t="s">
        <v>57</v>
      </c>
      <c r="F31" s="10" t="s">
        <v>47</v>
      </c>
      <c r="G31" s="10">
        <v>7500</v>
      </c>
      <c r="H31" s="10">
        <v>3600</v>
      </c>
      <c r="I31" s="10">
        <f t="shared" si="0"/>
        <v>11100</v>
      </c>
    </row>
    <row r="32" spans="1:9" x14ac:dyDescent="0.3">
      <c r="A32" s="10">
        <v>30</v>
      </c>
      <c r="B32" s="10" t="s">
        <v>223</v>
      </c>
      <c r="C32" s="10" t="s">
        <v>43</v>
      </c>
      <c r="D32" s="10" t="s">
        <v>44</v>
      </c>
      <c r="E32" s="10" t="s">
        <v>77</v>
      </c>
      <c r="F32" s="10" t="s">
        <v>47</v>
      </c>
      <c r="G32" s="10">
        <v>7500</v>
      </c>
      <c r="H32" s="10">
        <v>3600</v>
      </c>
      <c r="I32" s="10">
        <f t="shared" si="0"/>
        <v>11100</v>
      </c>
    </row>
    <row r="33" spans="1:9" x14ac:dyDescent="0.3">
      <c r="A33" s="10">
        <v>31</v>
      </c>
      <c r="B33" s="10" t="s">
        <v>223</v>
      </c>
      <c r="C33" s="10" t="s">
        <v>71</v>
      </c>
      <c r="D33" s="10" t="s">
        <v>44</v>
      </c>
      <c r="E33" s="10" t="s">
        <v>92</v>
      </c>
      <c r="F33" s="10" t="s">
        <v>47</v>
      </c>
      <c r="G33" s="10">
        <v>7500</v>
      </c>
      <c r="H33" s="10">
        <v>3600</v>
      </c>
      <c r="I33" s="10">
        <f t="shared" ref="I33:I34" si="1">+H33+G33</f>
        <v>11100</v>
      </c>
    </row>
    <row r="34" spans="1:9" x14ac:dyDescent="0.3">
      <c r="A34" s="10">
        <v>32</v>
      </c>
      <c r="B34" s="10" t="s">
        <v>223</v>
      </c>
      <c r="C34" s="10" t="s">
        <v>86</v>
      </c>
      <c r="D34" s="10" t="s">
        <v>71</v>
      </c>
      <c r="E34" s="10" t="s">
        <v>57</v>
      </c>
      <c r="F34" s="10" t="s">
        <v>47</v>
      </c>
      <c r="G34" s="10">
        <v>8500</v>
      </c>
      <c r="H34" s="10">
        <v>3600</v>
      </c>
      <c r="I34" s="10">
        <f t="shared" si="1"/>
        <v>12100</v>
      </c>
    </row>
    <row r="35" spans="1:9" x14ac:dyDescent="0.3">
      <c r="F35" s="28" t="s">
        <v>41</v>
      </c>
      <c r="G35" s="9">
        <f>SUM(G3:G34)</f>
        <v>231800</v>
      </c>
      <c r="H35" s="9">
        <f>SUM(H3:H34)</f>
        <v>105600</v>
      </c>
      <c r="I35" s="9">
        <f>SUM(I3:I34)</f>
        <v>337400</v>
      </c>
    </row>
    <row r="38" spans="1:9" x14ac:dyDescent="0.3">
      <c r="A38" s="8" t="s">
        <v>226</v>
      </c>
    </row>
    <row r="39" spans="1:9" ht="28.8" x14ac:dyDescent="0.3">
      <c r="A39" s="26" t="s">
        <v>25</v>
      </c>
      <c r="B39" s="26" t="s">
        <v>26</v>
      </c>
      <c r="C39" s="26" t="s">
        <v>27</v>
      </c>
      <c r="D39" s="26" t="s">
        <v>28</v>
      </c>
      <c r="E39" s="26" t="s">
        <v>30</v>
      </c>
      <c r="F39" s="27" t="s">
        <v>34</v>
      </c>
      <c r="G39" s="26" t="s">
        <v>35</v>
      </c>
      <c r="H39" s="26" t="s">
        <v>36</v>
      </c>
      <c r="I39" s="27" t="s">
        <v>37</v>
      </c>
    </row>
    <row r="40" spans="1:9" x14ac:dyDescent="0.3">
      <c r="A40" s="62">
        <v>1</v>
      </c>
      <c r="B40" s="62" t="s">
        <v>240</v>
      </c>
      <c r="C40" s="10" t="s">
        <v>43</v>
      </c>
      <c r="D40" s="10" t="s">
        <v>44</v>
      </c>
      <c r="E40" s="10" t="s">
        <v>92</v>
      </c>
      <c r="F40" s="10" t="s">
        <v>47</v>
      </c>
      <c r="G40" s="62">
        <v>7500</v>
      </c>
      <c r="H40" s="62">
        <v>3600</v>
      </c>
      <c r="I40" s="63">
        <f>+H40+G40</f>
        <v>11100</v>
      </c>
    </row>
    <row r="41" spans="1:9" x14ac:dyDescent="0.3">
      <c r="A41" s="62">
        <v>2</v>
      </c>
      <c r="B41" s="62" t="s">
        <v>240</v>
      </c>
      <c r="C41" s="10" t="s">
        <v>43</v>
      </c>
      <c r="D41" s="10" t="s">
        <v>44</v>
      </c>
      <c r="E41" s="10" t="s">
        <v>125</v>
      </c>
      <c r="F41" s="10" t="s">
        <v>47</v>
      </c>
      <c r="G41" s="62">
        <v>7500</v>
      </c>
      <c r="H41" s="62">
        <v>3600</v>
      </c>
      <c r="I41" s="63">
        <f t="shared" ref="I41:I53" si="2">+H41+G41</f>
        <v>11100</v>
      </c>
    </row>
    <row r="42" spans="1:9" x14ac:dyDescent="0.3">
      <c r="A42" s="62">
        <v>3</v>
      </c>
      <c r="B42" s="62" t="s">
        <v>240</v>
      </c>
      <c r="C42" s="10" t="s">
        <v>71</v>
      </c>
      <c r="D42" s="10" t="s">
        <v>44</v>
      </c>
      <c r="E42" s="62" t="s">
        <v>54</v>
      </c>
      <c r="F42" s="10" t="s">
        <v>47</v>
      </c>
      <c r="G42" s="62">
        <v>7500</v>
      </c>
      <c r="H42" s="62">
        <v>3600</v>
      </c>
      <c r="I42" s="63">
        <f t="shared" si="2"/>
        <v>11100</v>
      </c>
    </row>
    <row r="43" spans="1:9" x14ac:dyDescent="0.3">
      <c r="A43" s="62">
        <v>4</v>
      </c>
      <c r="B43" s="62" t="s">
        <v>240</v>
      </c>
      <c r="C43" s="10" t="s">
        <v>86</v>
      </c>
      <c r="D43" s="10" t="s">
        <v>71</v>
      </c>
      <c r="E43" s="10" t="s">
        <v>57</v>
      </c>
      <c r="F43" s="10" t="s">
        <v>47</v>
      </c>
      <c r="G43" s="62">
        <v>8500</v>
      </c>
      <c r="H43" s="62">
        <v>3600</v>
      </c>
      <c r="I43" s="63">
        <f t="shared" si="2"/>
        <v>12100</v>
      </c>
    </row>
    <row r="44" spans="1:9" x14ac:dyDescent="0.3">
      <c r="A44" s="62">
        <v>5</v>
      </c>
      <c r="B44" s="62" t="s">
        <v>240</v>
      </c>
      <c r="C44" s="10" t="s">
        <v>44</v>
      </c>
      <c r="D44" s="62" t="s">
        <v>53</v>
      </c>
      <c r="E44" s="62" t="s">
        <v>77</v>
      </c>
      <c r="F44" s="10" t="s">
        <v>47</v>
      </c>
      <c r="G44" s="62">
        <v>5900</v>
      </c>
      <c r="H44" s="62">
        <v>3600</v>
      </c>
      <c r="I44" s="63">
        <f t="shared" si="2"/>
        <v>9500</v>
      </c>
    </row>
    <row r="45" spans="1:9" x14ac:dyDescent="0.3">
      <c r="A45" s="62">
        <v>6</v>
      </c>
      <c r="B45" s="62" t="s">
        <v>241</v>
      </c>
      <c r="C45" s="62" t="s">
        <v>43</v>
      </c>
      <c r="D45" s="10" t="s">
        <v>44</v>
      </c>
      <c r="E45" s="62" t="s">
        <v>77</v>
      </c>
      <c r="F45" s="10" t="s">
        <v>47</v>
      </c>
      <c r="G45" s="62">
        <v>7500</v>
      </c>
      <c r="H45" s="62">
        <v>3600</v>
      </c>
      <c r="I45" s="63">
        <f t="shared" si="2"/>
        <v>11100</v>
      </c>
    </row>
    <row r="46" spans="1:9" x14ac:dyDescent="0.3">
      <c r="A46" s="62">
        <v>7</v>
      </c>
      <c r="B46" s="62" t="s">
        <v>241</v>
      </c>
      <c r="C46" s="62" t="s">
        <v>71</v>
      </c>
      <c r="D46" s="10" t="s">
        <v>44</v>
      </c>
      <c r="E46" s="62" t="s">
        <v>54</v>
      </c>
      <c r="F46" s="10" t="s">
        <v>47</v>
      </c>
      <c r="G46" s="62">
        <v>7500</v>
      </c>
      <c r="H46" s="62">
        <v>3600</v>
      </c>
      <c r="I46" s="63">
        <f t="shared" si="2"/>
        <v>11100</v>
      </c>
    </row>
    <row r="47" spans="1:9" x14ac:dyDescent="0.3">
      <c r="A47" s="62">
        <v>8</v>
      </c>
      <c r="B47" s="62" t="s">
        <v>241</v>
      </c>
      <c r="C47" s="10" t="s">
        <v>86</v>
      </c>
      <c r="D47" s="10" t="s">
        <v>71</v>
      </c>
      <c r="E47" s="10" t="s">
        <v>57</v>
      </c>
      <c r="F47" s="10" t="s">
        <v>47</v>
      </c>
      <c r="G47" s="62">
        <v>8500</v>
      </c>
      <c r="H47" s="62">
        <v>3600</v>
      </c>
      <c r="I47" s="63">
        <f t="shared" si="2"/>
        <v>12100</v>
      </c>
    </row>
    <row r="48" spans="1:9" x14ac:dyDescent="0.3">
      <c r="A48" s="62">
        <v>9</v>
      </c>
      <c r="B48" s="62" t="s">
        <v>241</v>
      </c>
      <c r="C48" s="10" t="s">
        <v>86</v>
      </c>
      <c r="D48" s="10" t="s">
        <v>71</v>
      </c>
      <c r="E48" s="10" t="s">
        <v>92</v>
      </c>
      <c r="F48" s="10" t="s">
        <v>47</v>
      </c>
      <c r="G48" s="62">
        <v>8500</v>
      </c>
      <c r="H48" s="62">
        <v>3600</v>
      </c>
      <c r="I48" s="63">
        <f t="shared" si="2"/>
        <v>12100</v>
      </c>
    </row>
    <row r="49" spans="1:9" x14ac:dyDescent="0.3">
      <c r="A49" s="62">
        <v>10</v>
      </c>
      <c r="B49" s="62" t="s">
        <v>241</v>
      </c>
      <c r="C49" s="10" t="s">
        <v>86</v>
      </c>
      <c r="D49" s="10" t="s">
        <v>71</v>
      </c>
      <c r="E49" s="62" t="s">
        <v>242</v>
      </c>
      <c r="F49" s="10" t="s">
        <v>47</v>
      </c>
      <c r="G49" s="62">
        <v>8500</v>
      </c>
      <c r="H49" s="62">
        <v>3600</v>
      </c>
      <c r="I49" s="63">
        <f t="shared" si="2"/>
        <v>12100</v>
      </c>
    </row>
    <row r="50" spans="1:9" x14ac:dyDescent="0.3">
      <c r="A50" s="62">
        <v>11</v>
      </c>
      <c r="B50" s="62" t="s">
        <v>243</v>
      </c>
      <c r="C50" s="62" t="s">
        <v>43</v>
      </c>
      <c r="D50" s="10" t="s">
        <v>44</v>
      </c>
      <c r="E50" s="62" t="s">
        <v>77</v>
      </c>
      <c r="F50" s="10" t="s">
        <v>47</v>
      </c>
      <c r="G50" s="62">
        <v>7500</v>
      </c>
      <c r="H50" s="62">
        <v>3600</v>
      </c>
      <c r="I50" s="63">
        <f t="shared" si="2"/>
        <v>11100</v>
      </c>
    </row>
    <row r="51" spans="1:9" x14ac:dyDescent="0.3">
      <c r="A51" s="62">
        <v>12</v>
      </c>
      <c r="B51" s="62" t="s">
        <v>243</v>
      </c>
      <c r="C51" s="62" t="s">
        <v>71</v>
      </c>
      <c r="D51" s="10" t="s">
        <v>44</v>
      </c>
      <c r="E51" s="10" t="s">
        <v>57</v>
      </c>
      <c r="F51" s="10" t="s">
        <v>47</v>
      </c>
      <c r="G51" s="62">
        <v>7500</v>
      </c>
      <c r="H51" s="62">
        <v>3600</v>
      </c>
      <c r="I51" s="63">
        <f t="shared" si="2"/>
        <v>11100</v>
      </c>
    </row>
    <row r="52" spans="1:9" x14ac:dyDescent="0.3">
      <c r="A52" s="62">
        <v>13</v>
      </c>
      <c r="B52" s="62" t="s">
        <v>243</v>
      </c>
      <c r="C52" s="10" t="s">
        <v>44</v>
      </c>
      <c r="D52" s="10" t="s">
        <v>53</v>
      </c>
      <c r="E52" s="62" t="s">
        <v>60</v>
      </c>
      <c r="F52" s="63" t="s">
        <v>63</v>
      </c>
      <c r="G52" s="62">
        <v>3500</v>
      </c>
      <c r="H52" s="62">
        <v>1200</v>
      </c>
      <c r="I52" s="63">
        <f t="shared" si="2"/>
        <v>4700</v>
      </c>
    </row>
    <row r="53" spans="1:9" x14ac:dyDescent="0.3">
      <c r="A53" s="62">
        <v>14</v>
      </c>
      <c r="B53" s="62" t="s">
        <v>243</v>
      </c>
      <c r="C53" s="10" t="s">
        <v>44</v>
      </c>
      <c r="D53" s="10" t="s">
        <v>65</v>
      </c>
      <c r="E53" s="62" t="s">
        <v>92</v>
      </c>
      <c r="F53" s="63" t="s">
        <v>55</v>
      </c>
      <c r="G53" s="62">
        <v>4900</v>
      </c>
      <c r="H53" s="62">
        <v>2400</v>
      </c>
      <c r="I53" s="63">
        <f t="shared" si="2"/>
        <v>7300</v>
      </c>
    </row>
    <row r="54" spans="1:9" x14ac:dyDescent="0.3">
      <c r="A54" s="62">
        <v>15</v>
      </c>
      <c r="B54" s="10" t="s">
        <v>227</v>
      </c>
      <c r="C54" s="10" t="s">
        <v>43</v>
      </c>
      <c r="D54" s="10" t="s">
        <v>44</v>
      </c>
      <c r="E54" s="10" t="s">
        <v>92</v>
      </c>
      <c r="F54" s="10" t="s">
        <v>47</v>
      </c>
      <c r="G54" s="10">
        <v>7500</v>
      </c>
      <c r="H54" s="10">
        <v>3600</v>
      </c>
      <c r="I54" s="10">
        <f>+H54+G54</f>
        <v>11100</v>
      </c>
    </row>
    <row r="55" spans="1:9" x14ac:dyDescent="0.3">
      <c r="A55" s="62">
        <v>16</v>
      </c>
      <c r="B55" s="10" t="s">
        <v>227</v>
      </c>
      <c r="C55" s="10" t="s">
        <v>71</v>
      </c>
      <c r="D55" s="10" t="s">
        <v>44</v>
      </c>
      <c r="E55" s="10" t="s">
        <v>77</v>
      </c>
      <c r="F55" s="10" t="s">
        <v>47</v>
      </c>
      <c r="G55" s="10">
        <v>7500</v>
      </c>
      <c r="H55" s="10">
        <v>3600</v>
      </c>
      <c r="I55" s="10">
        <f t="shared" ref="I55:I85" si="3">+H55+G55</f>
        <v>11100</v>
      </c>
    </row>
    <row r="56" spans="1:9" x14ac:dyDescent="0.3">
      <c r="A56" s="62">
        <v>17</v>
      </c>
      <c r="B56" s="10" t="s">
        <v>227</v>
      </c>
      <c r="C56" s="10" t="s">
        <v>86</v>
      </c>
      <c r="D56" s="10" t="s">
        <v>71</v>
      </c>
      <c r="E56" s="10" t="s">
        <v>57</v>
      </c>
      <c r="F56" s="10" t="s">
        <v>47</v>
      </c>
      <c r="G56" s="10">
        <v>8500</v>
      </c>
      <c r="H56" s="10">
        <v>3600</v>
      </c>
      <c r="I56" s="10">
        <f t="shared" si="3"/>
        <v>12100</v>
      </c>
    </row>
    <row r="57" spans="1:9" x14ac:dyDescent="0.3">
      <c r="A57" s="62">
        <v>18</v>
      </c>
      <c r="B57" s="10" t="s">
        <v>227</v>
      </c>
      <c r="C57" s="10" t="s">
        <v>86</v>
      </c>
      <c r="D57" s="10" t="s">
        <v>71</v>
      </c>
      <c r="E57" s="10" t="s">
        <v>77</v>
      </c>
      <c r="F57" s="10" t="s">
        <v>47</v>
      </c>
      <c r="G57" s="10">
        <v>8500</v>
      </c>
      <c r="H57" s="10">
        <v>3600</v>
      </c>
      <c r="I57" s="10">
        <f t="shared" si="3"/>
        <v>12100</v>
      </c>
    </row>
    <row r="58" spans="1:9" x14ac:dyDescent="0.3">
      <c r="A58" s="62">
        <v>19</v>
      </c>
      <c r="B58" s="10" t="s">
        <v>230</v>
      </c>
      <c r="C58" s="10" t="s">
        <v>43</v>
      </c>
      <c r="D58" s="10" t="s">
        <v>44</v>
      </c>
      <c r="E58" s="10" t="s">
        <v>57</v>
      </c>
      <c r="F58" s="10" t="s">
        <v>47</v>
      </c>
      <c r="G58" s="10">
        <v>7500</v>
      </c>
      <c r="H58" s="10">
        <v>3600</v>
      </c>
      <c r="I58" s="10">
        <f t="shared" si="3"/>
        <v>11100</v>
      </c>
    </row>
    <row r="59" spans="1:9" x14ac:dyDescent="0.3">
      <c r="A59" s="62">
        <v>20</v>
      </c>
      <c r="B59" s="10" t="s">
        <v>230</v>
      </c>
      <c r="C59" s="10" t="s">
        <v>71</v>
      </c>
      <c r="D59" s="10" t="s">
        <v>44</v>
      </c>
      <c r="E59" s="10" t="s">
        <v>77</v>
      </c>
      <c r="F59" s="10" t="s">
        <v>47</v>
      </c>
      <c r="G59" s="10">
        <v>7500</v>
      </c>
      <c r="H59" s="10">
        <v>3600</v>
      </c>
      <c r="I59" s="10">
        <f t="shared" si="3"/>
        <v>11100</v>
      </c>
    </row>
    <row r="60" spans="1:9" x14ac:dyDescent="0.3">
      <c r="A60" s="62">
        <v>21</v>
      </c>
      <c r="B60" s="10" t="s">
        <v>228</v>
      </c>
      <c r="C60" s="10" t="s">
        <v>43</v>
      </c>
      <c r="D60" s="10" t="s">
        <v>44</v>
      </c>
      <c r="E60" s="10" t="s">
        <v>77</v>
      </c>
      <c r="F60" s="10" t="s">
        <v>47</v>
      </c>
      <c r="G60" s="10">
        <v>7500</v>
      </c>
      <c r="H60" s="10">
        <v>3600</v>
      </c>
      <c r="I60" s="10">
        <f t="shared" si="3"/>
        <v>11100</v>
      </c>
    </row>
    <row r="61" spans="1:9" x14ac:dyDescent="0.3">
      <c r="A61" s="62">
        <v>22</v>
      </c>
      <c r="B61" s="10" t="s">
        <v>228</v>
      </c>
      <c r="C61" s="10" t="s">
        <v>71</v>
      </c>
      <c r="D61" s="10" t="s">
        <v>44</v>
      </c>
      <c r="E61" s="10" t="s">
        <v>57</v>
      </c>
      <c r="F61" s="10" t="s">
        <v>47</v>
      </c>
      <c r="G61" s="10">
        <v>7500</v>
      </c>
      <c r="H61" s="10">
        <v>3600</v>
      </c>
      <c r="I61" s="10">
        <f t="shared" si="3"/>
        <v>11100</v>
      </c>
    </row>
    <row r="62" spans="1:9" x14ac:dyDescent="0.3">
      <c r="A62" s="62">
        <v>23</v>
      </c>
      <c r="B62" s="10" t="s">
        <v>231</v>
      </c>
      <c r="C62" s="10" t="s">
        <v>43</v>
      </c>
      <c r="D62" s="10" t="s">
        <v>44</v>
      </c>
      <c r="E62" s="10" t="s">
        <v>77</v>
      </c>
      <c r="F62" s="10" t="s">
        <v>47</v>
      </c>
      <c r="G62" s="10">
        <v>7500</v>
      </c>
      <c r="H62" s="10">
        <v>3600</v>
      </c>
      <c r="I62" s="10">
        <f t="shared" si="3"/>
        <v>11100</v>
      </c>
    </row>
    <row r="63" spans="1:9" x14ac:dyDescent="0.3">
      <c r="A63" s="62">
        <v>24</v>
      </c>
      <c r="B63" s="10" t="s">
        <v>231</v>
      </c>
      <c r="C63" s="10" t="s">
        <v>43</v>
      </c>
      <c r="D63" s="10" t="s">
        <v>44</v>
      </c>
      <c r="E63" s="10" t="s">
        <v>92</v>
      </c>
      <c r="F63" s="10" t="s">
        <v>47</v>
      </c>
      <c r="G63" s="10">
        <v>7500</v>
      </c>
      <c r="H63" s="10">
        <v>3600</v>
      </c>
      <c r="I63" s="10">
        <f t="shared" si="3"/>
        <v>11100</v>
      </c>
    </row>
    <row r="64" spans="1:9" x14ac:dyDescent="0.3">
      <c r="A64" s="62">
        <v>25</v>
      </c>
      <c r="B64" s="10" t="s">
        <v>231</v>
      </c>
      <c r="C64" s="10" t="s">
        <v>71</v>
      </c>
      <c r="D64" s="10" t="s">
        <v>44</v>
      </c>
      <c r="E64" s="10" t="s">
        <v>57</v>
      </c>
      <c r="F64" s="10" t="s">
        <v>47</v>
      </c>
      <c r="G64" s="10">
        <v>7500</v>
      </c>
      <c r="H64" s="10">
        <v>3600</v>
      </c>
      <c r="I64" s="10">
        <f t="shared" si="3"/>
        <v>11100</v>
      </c>
    </row>
    <row r="65" spans="1:9" x14ac:dyDescent="0.3">
      <c r="A65" s="62">
        <v>26</v>
      </c>
      <c r="B65" s="10" t="s">
        <v>229</v>
      </c>
      <c r="C65" s="10" t="s">
        <v>43</v>
      </c>
      <c r="D65" s="10" t="s">
        <v>44</v>
      </c>
      <c r="E65" s="10" t="s">
        <v>92</v>
      </c>
      <c r="F65" s="10" t="s">
        <v>47</v>
      </c>
      <c r="G65" s="10">
        <v>7500</v>
      </c>
      <c r="H65" s="10">
        <v>3600</v>
      </c>
      <c r="I65" s="10">
        <f t="shared" si="3"/>
        <v>11100</v>
      </c>
    </row>
    <row r="66" spans="1:9" x14ac:dyDescent="0.3">
      <c r="A66" s="62">
        <v>27</v>
      </c>
      <c r="B66" s="10" t="s">
        <v>229</v>
      </c>
      <c r="C66" s="10" t="s">
        <v>71</v>
      </c>
      <c r="D66" s="10" t="s">
        <v>44</v>
      </c>
      <c r="E66" s="10" t="s">
        <v>57</v>
      </c>
      <c r="F66" s="10" t="s">
        <v>47</v>
      </c>
      <c r="G66" s="10">
        <v>7500</v>
      </c>
      <c r="H66" s="10">
        <v>3600</v>
      </c>
      <c r="I66" s="10">
        <f t="shared" si="3"/>
        <v>11100</v>
      </c>
    </row>
    <row r="67" spans="1:9" x14ac:dyDescent="0.3">
      <c r="A67" s="62">
        <v>28</v>
      </c>
      <c r="B67" s="10" t="s">
        <v>229</v>
      </c>
      <c r="C67" s="10" t="s">
        <v>71</v>
      </c>
      <c r="D67" s="10" t="s">
        <v>44</v>
      </c>
      <c r="E67" s="10" t="s">
        <v>77</v>
      </c>
      <c r="F67" s="10" t="s">
        <v>47</v>
      </c>
      <c r="G67" s="10">
        <v>7500</v>
      </c>
      <c r="H67" s="10">
        <v>3600</v>
      </c>
      <c r="I67" s="10">
        <f t="shared" si="3"/>
        <v>11100</v>
      </c>
    </row>
    <row r="68" spans="1:9" x14ac:dyDescent="0.3">
      <c r="A68" s="62">
        <v>29</v>
      </c>
      <c r="B68" s="10" t="s">
        <v>229</v>
      </c>
      <c r="C68" s="10" t="s">
        <v>86</v>
      </c>
      <c r="D68" s="10" t="s">
        <v>71</v>
      </c>
      <c r="E68" s="10" t="s">
        <v>232</v>
      </c>
      <c r="F68" s="10" t="s">
        <v>47</v>
      </c>
      <c r="G68" s="10">
        <v>8500</v>
      </c>
      <c r="H68" s="10">
        <v>3600</v>
      </c>
      <c r="I68" s="10">
        <f t="shared" si="3"/>
        <v>12100</v>
      </c>
    </row>
    <row r="69" spans="1:9" x14ac:dyDescent="0.3">
      <c r="A69" s="62">
        <v>30</v>
      </c>
      <c r="B69" s="10" t="s">
        <v>229</v>
      </c>
      <c r="C69" s="10" t="s">
        <v>86</v>
      </c>
      <c r="D69" s="10" t="s">
        <v>71</v>
      </c>
      <c r="E69" s="10" t="s">
        <v>233</v>
      </c>
      <c r="F69" s="10" t="s">
        <v>47</v>
      </c>
      <c r="G69" s="10">
        <v>8500</v>
      </c>
      <c r="H69" s="10">
        <v>3600</v>
      </c>
      <c r="I69" s="10">
        <f t="shared" si="3"/>
        <v>12100</v>
      </c>
    </row>
    <row r="70" spans="1:9" x14ac:dyDescent="0.3">
      <c r="A70" s="62">
        <v>31</v>
      </c>
      <c r="B70" s="10" t="s">
        <v>229</v>
      </c>
      <c r="C70" s="10" t="s">
        <v>44</v>
      </c>
      <c r="D70" s="10" t="s">
        <v>53</v>
      </c>
      <c r="E70" s="10" t="s">
        <v>94</v>
      </c>
      <c r="F70" s="10" t="s">
        <v>63</v>
      </c>
      <c r="G70" s="10">
        <v>3500</v>
      </c>
      <c r="H70" s="10">
        <v>750</v>
      </c>
      <c r="I70" s="10">
        <f t="shared" si="3"/>
        <v>4250</v>
      </c>
    </row>
    <row r="71" spans="1:9" x14ac:dyDescent="0.3">
      <c r="A71" s="62">
        <v>32</v>
      </c>
      <c r="B71" s="10" t="s">
        <v>229</v>
      </c>
      <c r="C71" s="10" t="s">
        <v>44</v>
      </c>
      <c r="D71" s="10" t="s">
        <v>53</v>
      </c>
      <c r="E71" s="10" t="s">
        <v>94</v>
      </c>
      <c r="F71" s="10" t="s">
        <v>63</v>
      </c>
      <c r="G71" s="10">
        <v>3500</v>
      </c>
      <c r="H71" s="10">
        <v>750</v>
      </c>
      <c r="I71" s="10">
        <f t="shared" si="3"/>
        <v>4250</v>
      </c>
    </row>
    <row r="72" spans="1:9" x14ac:dyDescent="0.3">
      <c r="A72" s="62">
        <v>33</v>
      </c>
      <c r="B72" s="10" t="s">
        <v>234</v>
      </c>
      <c r="C72" s="10" t="s">
        <v>43</v>
      </c>
      <c r="D72" s="10" t="s">
        <v>44</v>
      </c>
      <c r="E72" s="10" t="s">
        <v>92</v>
      </c>
      <c r="F72" s="10" t="s">
        <v>47</v>
      </c>
      <c r="G72" s="10">
        <v>7500</v>
      </c>
      <c r="H72" s="10">
        <v>3600</v>
      </c>
      <c r="I72" s="10">
        <f t="shared" si="3"/>
        <v>11100</v>
      </c>
    </row>
    <row r="73" spans="1:9" x14ac:dyDescent="0.3">
      <c r="A73" s="62">
        <v>34</v>
      </c>
      <c r="B73" s="10" t="s">
        <v>234</v>
      </c>
      <c r="C73" s="10" t="s">
        <v>71</v>
      </c>
      <c r="D73" s="10" t="s">
        <v>44</v>
      </c>
      <c r="E73" s="10" t="s">
        <v>233</v>
      </c>
      <c r="F73" s="10" t="s">
        <v>47</v>
      </c>
      <c r="G73" s="10">
        <v>7500</v>
      </c>
      <c r="H73" s="10">
        <v>3600</v>
      </c>
      <c r="I73" s="10">
        <f t="shared" si="3"/>
        <v>11100</v>
      </c>
    </row>
    <row r="74" spans="1:9" x14ac:dyDescent="0.3">
      <c r="A74" s="62">
        <v>35</v>
      </c>
      <c r="B74" s="10" t="s">
        <v>234</v>
      </c>
      <c r="C74" s="10" t="s">
        <v>86</v>
      </c>
      <c r="D74" s="10" t="s">
        <v>71</v>
      </c>
      <c r="E74" s="10" t="s">
        <v>57</v>
      </c>
      <c r="F74" s="10" t="s">
        <v>47</v>
      </c>
      <c r="G74" s="10">
        <v>8500</v>
      </c>
      <c r="H74" s="10">
        <v>3600</v>
      </c>
      <c r="I74" s="10">
        <f t="shared" si="3"/>
        <v>12100</v>
      </c>
    </row>
    <row r="75" spans="1:9" x14ac:dyDescent="0.3">
      <c r="A75" s="62">
        <v>36</v>
      </c>
      <c r="B75" s="10" t="s">
        <v>234</v>
      </c>
      <c r="C75" s="10" t="s">
        <v>86</v>
      </c>
      <c r="D75" s="10" t="s">
        <v>71</v>
      </c>
      <c r="E75" s="10" t="s">
        <v>77</v>
      </c>
      <c r="F75" s="10" t="s">
        <v>47</v>
      </c>
      <c r="G75" s="10">
        <v>8500</v>
      </c>
      <c r="H75" s="10">
        <v>3600</v>
      </c>
      <c r="I75" s="10">
        <f t="shared" si="3"/>
        <v>12100</v>
      </c>
    </row>
    <row r="76" spans="1:9" x14ac:dyDescent="0.3">
      <c r="A76" s="62">
        <v>37</v>
      </c>
      <c r="B76" s="10" t="s">
        <v>235</v>
      </c>
      <c r="C76" s="10" t="s">
        <v>43</v>
      </c>
      <c r="D76" s="10" t="s">
        <v>44</v>
      </c>
      <c r="E76" s="10" t="s">
        <v>92</v>
      </c>
      <c r="F76" s="10" t="s">
        <v>47</v>
      </c>
      <c r="G76" s="10">
        <v>7500</v>
      </c>
      <c r="H76" s="10">
        <v>3600</v>
      </c>
      <c r="I76" s="10">
        <f t="shared" si="3"/>
        <v>11100</v>
      </c>
    </row>
    <row r="77" spans="1:9" x14ac:dyDescent="0.3">
      <c r="A77" s="62">
        <v>38</v>
      </c>
      <c r="B77" s="10" t="s">
        <v>235</v>
      </c>
      <c r="C77" s="10" t="s">
        <v>43</v>
      </c>
      <c r="D77" s="10" t="s">
        <v>53</v>
      </c>
      <c r="E77" s="10" t="s">
        <v>77</v>
      </c>
      <c r="F77" s="10" t="s">
        <v>47</v>
      </c>
      <c r="G77" s="10">
        <v>6500</v>
      </c>
      <c r="H77" s="10">
        <v>3600</v>
      </c>
      <c r="I77" s="10">
        <f t="shared" si="3"/>
        <v>10100</v>
      </c>
    </row>
    <row r="78" spans="1:9" x14ac:dyDescent="0.3">
      <c r="A78" s="62">
        <v>39</v>
      </c>
      <c r="B78" s="10" t="s">
        <v>235</v>
      </c>
      <c r="C78" s="10" t="s">
        <v>71</v>
      </c>
      <c r="D78" s="10" t="s">
        <v>44</v>
      </c>
      <c r="E78" s="10" t="s">
        <v>236</v>
      </c>
      <c r="F78" s="10" t="s">
        <v>47</v>
      </c>
      <c r="G78" s="10">
        <v>7500</v>
      </c>
      <c r="H78" s="10">
        <v>3600</v>
      </c>
      <c r="I78" s="10">
        <f t="shared" si="3"/>
        <v>11100</v>
      </c>
    </row>
    <row r="79" spans="1:9" x14ac:dyDescent="0.3">
      <c r="A79" s="62">
        <v>40</v>
      </c>
      <c r="B79" s="10" t="s">
        <v>235</v>
      </c>
      <c r="C79" s="10" t="s">
        <v>86</v>
      </c>
      <c r="D79" s="10" t="s">
        <v>71</v>
      </c>
      <c r="E79" s="10" t="s">
        <v>57</v>
      </c>
      <c r="F79" s="10" t="s">
        <v>47</v>
      </c>
      <c r="G79" s="10">
        <v>8500</v>
      </c>
      <c r="H79" s="10">
        <v>3600</v>
      </c>
      <c r="I79" s="10">
        <f t="shared" si="3"/>
        <v>12100</v>
      </c>
    </row>
    <row r="80" spans="1:9" x14ac:dyDescent="0.3">
      <c r="A80" s="62">
        <v>41</v>
      </c>
      <c r="B80" s="10" t="s">
        <v>235</v>
      </c>
      <c r="C80" s="10" t="s">
        <v>86</v>
      </c>
      <c r="D80" s="10" t="s">
        <v>71</v>
      </c>
      <c r="E80" s="10" t="s">
        <v>237</v>
      </c>
      <c r="F80" s="10" t="s">
        <v>47</v>
      </c>
      <c r="G80" s="10">
        <v>8500</v>
      </c>
      <c r="H80" s="10">
        <v>3600</v>
      </c>
      <c r="I80" s="10">
        <f t="shared" si="3"/>
        <v>12100</v>
      </c>
    </row>
    <row r="81" spans="1:9" x14ac:dyDescent="0.3">
      <c r="A81" s="62">
        <v>42</v>
      </c>
      <c r="B81" s="10" t="s">
        <v>238</v>
      </c>
      <c r="C81" s="10" t="s">
        <v>43</v>
      </c>
      <c r="D81" s="10" t="s">
        <v>44</v>
      </c>
      <c r="E81" s="10" t="s">
        <v>77</v>
      </c>
      <c r="F81" s="10" t="s">
        <v>47</v>
      </c>
      <c r="G81" s="10">
        <v>7500</v>
      </c>
      <c r="H81" s="10">
        <v>3600</v>
      </c>
      <c r="I81" s="10">
        <f t="shared" si="3"/>
        <v>11100</v>
      </c>
    </row>
    <row r="82" spans="1:9" x14ac:dyDescent="0.3">
      <c r="A82" s="62">
        <v>43</v>
      </c>
      <c r="B82" s="10" t="s">
        <v>238</v>
      </c>
      <c r="C82" s="10" t="s">
        <v>71</v>
      </c>
      <c r="D82" s="10" t="s">
        <v>44</v>
      </c>
      <c r="E82" s="10" t="s">
        <v>57</v>
      </c>
      <c r="F82" s="10" t="s">
        <v>47</v>
      </c>
      <c r="G82" s="10">
        <v>7500</v>
      </c>
      <c r="H82" s="10">
        <v>3600</v>
      </c>
      <c r="I82" s="10">
        <f t="shared" si="3"/>
        <v>11100</v>
      </c>
    </row>
    <row r="83" spans="1:9" x14ac:dyDescent="0.3">
      <c r="A83" s="62">
        <v>44</v>
      </c>
      <c r="B83" s="10" t="s">
        <v>238</v>
      </c>
      <c r="C83" s="10" t="s">
        <v>44</v>
      </c>
      <c r="D83" s="10" t="s">
        <v>53</v>
      </c>
      <c r="E83" s="10" t="s">
        <v>94</v>
      </c>
      <c r="F83" s="10" t="s">
        <v>63</v>
      </c>
      <c r="G83" s="10">
        <v>3500</v>
      </c>
      <c r="H83" s="10">
        <v>700</v>
      </c>
      <c r="I83" s="10">
        <f t="shared" si="3"/>
        <v>4200</v>
      </c>
    </row>
    <row r="84" spans="1:9" x14ac:dyDescent="0.3">
      <c r="A84" s="62">
        <v>45</v>
      </c>
      <c r="B84" s="10" t="s">
        <v>239</v>
      </c>
      <c r="C84" s="10" t="s">
        <v>44</v>
      </c>
      <c r="D84" s="10" t="s">
        <v>53</v>
      </c>
      <c r="E84" s="10" t="s">
        <v>60</v>
      </c>
      <c r="F84" s="10" t="s">
        <v>61</v>
      </c>
      <c r="G84" s="10">
        <v>4900</v>
      </c>
      <c r="H84" s="10">
        <v>1200</v>
      </c>
      <c r="I84" s="10">
        <f t="shared" si="3"/>
        <v>6100</v>
      </c>
    </row>
    <row r="85" spans="1:9" x14ac:dyDescent="0.3">
      <c r="A85" s="62">
        <v>46</v>
      </c>
      <c r="B85" s="10" t="s">
        <v>239</v>
      </c>
      <c r="C85" s="10" t="s">
        <v>44</v>
      </c>
      <c r="D85" s="10" t="s">
        <v>53</v>
      </c>
      <c r="E85" s="10" t="s">
        <v>57</v>
      </c>
      <c r="F85" s="10" t="s">
        <v>61</v>
      </c>
      <c r="G85" s="10">
        <v>4900</v>
      </c>
      <c r="H85" s="10">
        <v>1200</v>
      </c>
      <c r="I85" s="10">
        <f t="shared" si="3"/>
        <v>6100</v>
      </c>
    </row>
    <row r="86" spans="1:9" x14ac:dyDescent="0.3">
      <c r="F86" s="28" t="s">
        <v>41</v>
      </c>
      <c r="G86" s="9">
        <f>SUM(G40:G85)</f>
        <v>330600</v>
      </c>
      <c r="H86" s="9">
        <f t="shared" ref="H86:I86" si="4">SUM(H40:H85)</f>
        <v>148600</v>
      </c>
      <c r="I86" s="9">
        <f t="shared" si="4"/>
        <v>479200</v>
      </c>
    </row>
    <row r="89" spans="1:9" x14ac:dyDescent="0.3">
      <c r="F89" t="s">
        <v>158</v>
      </c>
      <c r="G89" s="8">
        <f>+G86+G35</f>
        <v>562400</v>
      </c>
      <c r="H89" s="8">
        <f t="shared" ref="H89:I89" si="5">+H86+H35</f>
        <v>254200</v>
      </c>
      <c r="I89" s="8">
        <f t="shared" si="5"/>
        <v>816600</v>
      </c>
    </row>
  </sheetData>
  <autoFilter ref="A2:I35" xr:uid="{04AF77B2-480B-450F-B17C-E028B928FD9A}"/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AA20-7011-4BB5-9181-023B82084E8E}">
  <sheetPr>
    <pageSetUpPr fitToPage="1"/>
  </sheetPr>
  <dimension ref="A1:I103"/>
  <sheetViews>
    <sheetView showGridLines="0" topLeftCell="A83" zoomScale="102" zoomScaleNormal="100" workbookViewId="0">
      <selection activeCell="B101" sqref="B101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9" x14ac:dyDescent="0.3">
      <c r="A1" s="8" t="s">
        <v>246</v>
      </c>
    </row>
    <row r="2" spans="1:9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247</v>
      </c>
      <c r="C3" s="10" t="s">
        <v>71</v>
      </c>
      <c r="D3" s="10" t="s">
        <v>44</v>
      </c>
      <c r="E3" s="10" t="s">
        <v>233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9" x14ac:dyDescent="0.3">
      <c r="A4" s="10">
        <v>2</v>
      </c>
      <c r="B4" s="10" t="s">
        <v>247</v>
      </c>
      <c r="C4" s="10" t="s">
        <v>86</v>
      </c>
      <c r="D4" s="10" t="s">
        <v>71</v>
      </c>
      <c r="E4" s="10" t="s">
        <v>57</v>
      </c>
      <c r="F4" s="10" t="s">
        <v>47</v>
      </c>
      <c r="G4" s="10">
        <v>8500</v>
      </c>
      <c r="H4" s="10">
        <v>3600</v>
      </c>
      <c r="I4" s="10">
        <f t="shared" ref="I4:I36" si="0">+H4+G4</f>
        <v>12100</v>
      </c>
    </row>
    <row r="5" spans="1:9" x14ac:dyDescent="0.3">
      <c r="A5" s="10">
        <v>3</v>
      </c>
      <c r="B5" s="10" t="s">
        <v>247</v>
      </c>
      <c r="C5" s="10" t="s">
        <v>86</v>
      </c>
      <c r="D5" s="10" t="s">
        <v>71</v>
      </c>
      <c r="E5" s="10" t="s">
        <v>77</v>
      </c>
      <c r="F5" s="10" t="s">
        <v>47</v>
      </c>
      <c r="G5" s="10">
        <v>8500</v>
      </c>
      <c r="H5" s="10">
        <v>3600</v>
      </c>
      <c r="I5" s="10">
        <f t="shared" si="0"/>
        <v>12100</v>
      </c>
    </row>
    <row r="6" spans="1:9" x14ac:dyDescent="0.3">
      <c r="A6" s="10">
        <v>4</v>
      </c>
      <c r="B6" s="10" t="s">
        <v>247</v>
      </c>
      <c r="C6" s="10" t="s">
        <v>86</v>
      </c>
      <c r="D6" s="10" t="s">
        <v>71</v>
      </c>
      <c r="E6" s="10" t="s">
        <v>92</v>
      </c>
      <c r="F6" s="10" t="s">
        <v>47</v>
      </c>
      <c r="G6" s="10">
        <v>8500</v>
      </c>
      <c r="H6" s="10">
        <v>3600</v>
      </c>
      <c r="I6" s="10">
        <f t="shared" si="0"/>
        <v>12100</v>
      </c>
    </row>
    <row r="7" spans="1:9" x14ac:dyDescent="0.3">
      <c r="A7" s="10">
        <v>5</v>
      </c>
      <c r="B7" s="10" t="s">
        <v>248</v>
      </c>
      <c r="C7" s="10" t="s">
        <v>86</v>
      </c>
      <c r="D7" s="10" t="s">
        <v>71</v>
      </c>
      <c r="E7" s="10" t="s">
        <v>77</v>
      </c>
      <c r="F7" s="10" t="s">
        <v>47</v>
      </c>
      <c r="G7" s="10">
        <v>8500</v>
      </c>
      <c r="H7" s="10">
        <v>3600</v>
      </c>
      <c r="I7" s="10">
        <f t="shared" si="0"/>
        <v>12100</v>
      </c>
    </row>
    <row r="8" spans="1:9" x14ac:dyDescent="0.3">
      <c r="A8" s="10">
        <v>6</v>
      </c>
      <c r="B8" s="10" t="s">
        <v>248</v>
      </c>
      <c r="C8" s="10" t="s">
        <v>86</v>
      </c>
      <c r="D8" s="10" t="s">
        <v>71</v>
      </c>
      <c r="E8" s="10" t="s">
        <v>57</v>
      </c>
      <c r="F8" s="10" t="s">
        <v>47</v>
      </c>
      <c r="G8" s="10">
        <v>8500</v>
      </c>
      <c r="H8" s="10">
        <v>3600</v>
      </c>
      <c r="I8" s="10">
        <f t="shared" si="0"/>
        <v>12100</v>
      </c>
    </row>
    <row r="9" spans="1:9" x14ac:dyDescent="0.3">
      <c r="A9" s="10">
        <v>7</v>
      </c>
      <c r="B9" s="10" t="s">
        <v>249</v>
      </c>
      <c r="C9" s="10" t="s">
        <v>71</v>
      </c>
      <c r="D9" s="10" t="s">
        <v>44</v>
      </c>
      <c r="E9" s="10" t="s">
        <v>77</v>
      </c>
      <c r="F9" s="10" t="s">
        <v>47</v>
      </c>
      <c r="G9" s="10">
        <v>7500</v>
      </c>
      <c r="H9" s="10">
        <v>3600</v>
      </c>
      <c r="I9" s="10">
        <f t="shared" si="0"/>
        <v>11100</v>
      </c>
    </row>
    <row r="10" spans="1:9" x14ac:dyDescent="0.3">
      <c r="A10" s="10">
        <v>8</v>
      </c>
      <c r="B10" s="10" t="s">
        <v>250</v>
      </c>
      <c r="C10" s="10" t="s">
        <v>86</v>
      </c>
      <c r="D10" s="10" t="s">
        <v>71</v>
      </c>
      <c r="E10" s="10" t="s">
        <v>57</v>
      </c>
      <c r="F10" s="10" t="s">
        <v>47</v>
      </c>
      <c r="G10" s="10">
        <v>8500</v>
      </c>
      <c r="H10" s="10">
        <v>3600</v>
      </c>
      <c r="I10" s="10">
        <f t="shared" si="0"/>
        <v>12100</v>
      </c>
    </row>
    <row r="11" spans="1:9" x14ac:dyDescent="0.3">
      <c r="A11" s="10">
        <v>9</v>
      </c>
      <c r="B11" s="10" t="s">
        <v>250</v>
      </c>
      <c r="C11" s="10" t="s">
        <v>86</v>
      </c>
      <c r="D11" s="10" t="s">
        <v>71</v>
      </c>
      <c r="E11" s="10" t="s">
        <v>77</v>
      </c>
      <c r="F11" s="10" t="s">
        <v>47</v>
      </c>
      <c r="G11" s="10">
        <v>8500</v>
      </c>
      <c r="H11" s="10">
        <v>3600</v>
      </c>
      <c r="I11" s="10">
        <f t="shared" si="0"/>
        <v>12100</v>
      </c>
    </row>
    <row r="12" spans="1:9" x14ac:dyDescent="0.3">
      <c r="A12" s="10">
        <v>10</v>
      </c>
      <c r="B12" s="10" t="s">
        <v>250</v>
      </c>
      <c r="C12" s="10" t="s">
        <v>44</v>
      </c>
      <c r="D12" s="10" t="s">
        <v>53</v>
      </c>
      <c r="E12" s="10" t="s">
        <v>92</v>
      </c>
      <c r="F12" s="10" t="s">
        <v>47</v>
      </c>
      <c r="G12" s="10">
        <v>5900</v>
      </c>
      <c r="H12" s="10">
        <v>3600</v>
      </c>
      <c r="I12" s="10">
        <f t="shared" si="0"/>
        <v>9500</v>
      </c>
    </row>
    <row r="13" spans="1:9" x14ac:dyDescent="0.3">
      <c r="A13" s="10">
        <v>11</v>
      </c>
      <c r="B13" s="10" t="s">
        <v>251</v>
      </c>
      <c r="C13" s="10" t="s">
        <v>71</v>
      </c>
      <c r="D13" s="10" t="s">
        <v>44</v>
      </c>
      <c r="E13" s="10" t="s">
        <v>77</v>
      </c>
      <c r="F13" s="10" t="s">
        <v>47</v>
      </c>
      <c r="G13" s="10">
        <v>7500</v>
      </c>
      <c r="H13" s="10">
        <v>3600</v>
      </c>
      <c r="I13" s="10">
        <f t="shared" si="0"/>
        <v>11100</v>
      </c>
    </row>
    <row r="14" spans="1:9" x14ac:dyDescent="0.3">
      <c r="A14" s="10">
        <v>12</v>
      </c>
      <c r="B14" s="10" t="s">
        <v>251</v>
      </c>
      <c r="C14" s="10" t="s">
        <v>86</v>
      </c>
      <c r="D14" s="10" t="s">
        <v>71</v>
      </c>
      <c r="E14" s="10" t="s">
        <v>57</v>
      </c>
      <c r="F14" s="10" t="s">
        <v>47</v>
      </c>
      <c r="G14" s="10">
        <v>8500</v>
      </c>
      <c r="H14" s="10">
        <v>3600</v>
      </c>
      <c r="I14" s="10">
        <f t="shared" si="0"/>
        <v>12100</v>
      </c>
    </row>
    <row r="15" spans="1:9" x14ac:dyDescent="0.3">
      <c r="A15" s="10">
        <v>13</v>
      </c>
      <c r="B15" s="10" t="s">
        <v>251</v>
      </c>
      <c r="C15" s="10" t="s">
        <v>86</v>
      </c>
      <c r="D15" s="10" t="s">
        <v>71</v>
      </c>
      <c r="E15" s="10" t="s">
        <v>92</v>
      </c>
      <c r="F15" s="10" t="s">
        <v>47</v>
      </c>
      <c r="G15" s="10">
        <v>8500</v>
      </c>
      <c r="H15" s="10">
        <v>3600</v>
      </c>
      <c r="I15" s="10">
        <f t="shared" si="0"/>
        <v>12100</v>
      </c>
    </row>
    <row r="16" spans="1:9" x14ac:dyDescent="0.3">
      <c r="A16" s="10">
        <v>14</v>
      </c>
      <c r="B16" s="10" t="s">
        <v>252</v>
      </c>
      <c r="C16" s="10" t="s">
        <v>71</v>
      </c>
      <c r="D16" s="10" t="s">
        <v>44</v>
      </c>
      <c r="E16" s="10" t="s">
        <v>77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253</v>
      </c>
      <c r="C17" s="10" t="s">
        <v>43</v>
      </c>
      <c r="D17" s="10" t="s">
        <v>44</v>
      </c>
      <c r="E17" s="10" t="s">
        <v>57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10" t="s">
        <v>253</v>
      </c>
      <c r="C18" s="10" t="s">
        <v>43</v>
      </c>
      <c r="D18" s="10" t="s">
        <v>44</v>
      </c>
      <c r="E18" s="10" t="s">
        <v>77</v>
      </c>
      <c r="F18" s="10" t="s">
        <v>47</v>
      </c>
      <c r="G18" s="10">
        <v>7500</v>
      </c>
      <c r="H18" s="10">
        <v>3600</v>
      </c>
      <c r="I18" s="10">
        <f t="shared" si="0"/>
        <v>11100</v>
      </c>
    </row>
    <row r="19" spans="1:9" x14ac:dyDescent="0.3">
      <c r="A19" s="10">
        <v>17</v>
      </c>
      <c r="B19" s="10" t="s">
        <v>253</v>
      </c>
      <c r="C19" s="10" t="s">
        <v>43</v>
      </c>
      <c r="D19" s="10" t="s">
        <v>44</v>
      </c>
      <c r="E19" s="10" t="s">
        <v>92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10" t="s">
        <v>253</v>
      </c>
      <c r="C20" s="10" t="s">
        <v>71</v>
      </c>
      <c r="D20" s="10" t="s">
        <v>44</v>
      </c>
      <c r="E20" s="10" t="s">
        <v>232</v>
      </c>
      <c r="F20" s="10" t="s">
        <v>47</v>
      </c>
      <c r="G20" s="10">
        <v>7500</v>
      </c>
      <c r="H20" s="10">
        <f>1200*3</f>
        <v>3600</v>
      </c>
      <c r="I20" s="10">
        <f t="shared" si="0"/>
        <v>11100</v>
      </c>
    </row>
    <row r="21" spans="1:9" x14ac:dyDescent="0.3">
      <c r="A21" s="10">
        <v>19</v>
      </c>
      <c r="B21" s="10" t="s">
        <v>253</v>
      </c>
      <c r="C21" s="10" t="s">
        <v>71</v>
      </c>
      <c r="D21" s="10" t="s">
        <v>44</v>
      </c>
      <c r="E21" s="10" t="s">
        <v>254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10" t="s">
        <v>255</v>
      </c>
      <c r="C22" s="10" t="s">
        <v>43</v>
      </c>
      <c r="D22" s="10" t="s">
        <v>44</v>
      </c>
      <c r="E22" s="10" t="s">
        <v>57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10" t="s">
        <v>255</v>
      </c>
      <c r="C23" s="10" t="s">
        <v>43</v>
      </c>
      <c r="D23" s="10" t="s">
        <v>44</v>
      </c>
      <c r="E23" s="10" t="s">
        <v>77</v>
      </c>
      <c r="F23" s="10" t="s">
        <v>47</v>
      </c>
      <c r="G23" s="10">
        <v>7500</v>
      </c>
      <c r="H23" s="10">
        <v>3600</v>
      </c>
      <c r="I23" s="10">
        <f t="shared" si="0"/>
        <v>11100</v>
      </c>
    </row>
    <row r="24" spans="1:9" x14ac:dyDescent="0.3">
      <c r="A24" s="10">
        <v>22</v>
      </c>
      <c r="B24" s="10" t="s">
        <v>255</v>
      </c>
      <c r="C24" s="10" t="s">
        <v>44</v>
      </c>
      <c r="D24" s="10" t="s">
        <v>65</v>
      </c>
      <c r="E24" s="10" t="s">
        <v>94</v>
      </c>
      <c r="F24" s="10" t="s">
        <v>63</v>
      </c>
      <c r="G24" s="10">
        <v>3500</v>
      </c>
      <c r="H24" s="10">
        <v>600</v>
      </c>
      <c r="I24" s="10">
        <f t="shared" si="0"/>
        <v>4100</v>
      </c>
    </row>
    <row r="25" spans="1:9" x14ac:dyDescent="0.3">
      <c r="A25" s="10">
        <v>23</v>
      </c>
      <c r="B25" s="10" t="s">
        <v>256</v>
      </c>
      <c r="C25" s="10" t="s">
        <v>43</v>
      </c>
      <c r="D25" s="10" t="s">
        <v>44</v>
      </c>
      <c r="E25" s="10" t="s">
        <v>77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256</v>
      </c>
      <c r="C26" s="10" t="s">
        <v>43</v>
      </c>
      <c r="D26" s="10" t="s">
        <v>44</v>
      </c>
      <c r="E26" s="10" t="s">
        <v>57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10" t="s">
        <v>256</v>
      </c>
      <c r="C27" s="10" t="s">
        <v>44</v>
      </c>
      <c r="D27" s="10" t="s">
        <v>53</v>
      </c>
      <c r="E27" s="10" t="s">
        <v>60</v>
      </c>
      <c r="F27" s="10" t="s">
        <v>63</v>
      </c>
      <c r="G27" s="10">
        <v>3500</v>
      </c>
      <c r="H27" s="10">
        <v>600</v>
      </c>
      <c r="I27" s="10">
        <f t="shared" si="0"/>
        <v>4100</v>
      </c>
    </row>
    <row r="28" spans="1:9" x14ac:dyDescent="0.3">
      <c r="A28" s="10">
        <v>26</v>
      </c>
      <c r="B28" s="10" t="s">
        <v>257</v>
      </c>
      <c r="C28" s="10" t="s">
        <v>43</v>
      </c>
      <c r="D28" s="10" t="s">
        <v>44</v>
      </c>
      <c r="E28" s="10" t="s">
        <v>77</v>
      </c>
      <c r="F28" s="10" t="s">
        <v>47</v>
      </c>
      <c r="G28" s="10">
        <v>7500</v>
      </c>
      <c r="H28" s="10">
        <v>3600</v>
      </c>
      <c r="I28" s="10">
        <f t="shared" si="0"/>
        <v>11100</v>
      </c>
    </row>
    <row r="29" spans="1:9" x14ac:dyDescent="0.3">
      <c r="A29" s="10">
        <v>27</v>
      </c>
      <c r="B29" s="10" t="s">
        <v>257</v>
      </c>
      <c r="C29" s="10" t="s">
        <v>43</v>
      </c>
      <c r="D29" s="10" t="s">
        <v>44</v>
      </c>
      <c r="E29" s="10" t="s">
        <v>92</v>
      </c>
      <c r="F29" s="10" t="s">
        <v>47</v>
      </c>
      <c r="G29" s="10">
        <v>7500</v>
      </c>
      <c r="H29" s="10">
        <v>3600</v>
      </c>
      <c r="I29" s="10">
        <f t="shared" si="0"/>
        <v>11100</v>
      </c>
    </row>
    <row r="30" spans="1:9" x14ac:dyDescent="0.3">
      <c r="A30" s="10">
        <v>28</v>
      </c>
      <c r="B30" s="10" t="s">
        <v>257</v>
      </c>
      <c r="C30" s="10" t="s">
        <v>71</v>
      </c>
      <c r="D30" s="10" t="s">
        <v>44</v>
      </c>
      <c r="E30" s="10" t="s">
        <v>57</v>
      </c>
      <c r="F30" s="10" t="s">
        <v>47</v>
      </c>
      <c r="G30" s="10">
        <v>7500</v>
      </c>
      <c r="H30" s="10">
        <v>3600</v>
      </c>
      <c r="I30" s="10">
        <f t="shared" si="0"/>
        <v>11100</v>
      </c>
    </row>
    <row r="31" spans="1:9" x14ac:dyDescent="0.3">
      <c r="A31" s="10">
        <v>29</v>
      </c>
      <c r="B31" s="10" t="s">
        <v>258</v>
      </c>
      <c r="C31" s="10" t="s">
        <v>43</v>
      </c>
      <c r="D31" s="10" t="s">
        <v>44</v>
      </c>
      <c r="E31" s="10" t="s">
        <v>77</v>
      </c>
      <c r="F31" s="10" t="s">
        <v>47</v>
      </c>
      <c r="G31" s="10">
        <v>7500</v>
      </c>
      <c r="H31" s="10">
        <v>3600</v>
      </c>
      <c r="I31" s="10">
        <f t="shared" si="0"/>
        <v>11100</v>
      </c>
    </row>
    <row r="32" spans="1:9" x14ac:dyDescent="0.3">
      <c r="A32" s="10">
        <v>30</v>
      </c>
      <c r="B32" s="10" t="s">
        <v>258</v>
      </c>
      <c r="C32" s="10" t="s">
        <v>43</v>
      </c>
      <c r="D32" s="10" t="s">
        <v>44</v>
      </c>
      <c r="E32" s="10" t="s">
        <v>92</v>
      </c>
      <c r="F32" s="10" t="s">
        <v>47</v>
      </c>
      <c r="G32" s="10">
        <v>7500</v>
      </c>
      <c r="H32" s="10">
        <v>3600</v>
      </c>
      <c r="I32" s="10">
        <f t="shared" si="0"/>
        <v>11100</v>
      </c>
    </row>
    <row r="33" spans="1:9" x14ac:dyDescent="0.3">
      <c r="A33" s="10">
        <v>31</v>
      </c>
      <c r="B33" s="10" t="s">
        <v>258</v>
      </c>
      <c r="C33" s="10" t="s">
        <v>71</v>
      </c>
      <c r="D33" s="10" t="s">
        <v>44</v>
      </c>
      <c r="E33" s="10" t="s">
        <v>259</v>
      </c>
      <c r="F33" s="10" t="s">
        <v>47</v>
      </c>
      <c r="G33" s="10">
        <v>7500</v>
      </c>
      <c r="H33" s="10">
        <v>3600</v>
      </c>
      <c r="I33" s="10">
        <f t="shared" si="0"/>
        <v>11100</v>
      </c>
    </row>
    <row r="34" spans="1:9" x14ac:dyDescent="0.3">
      <c r="A34" s="10">
        <v>32</v>
      </c>
      <c r="B34" s="10" t="s">
        <v>258</v>
      </c>
      <c r="C34" s="10" t="s">
        <v>86</v>
      </c>
      <c r="D34" s="10" t="s">
        <v>71</v>
      </c>
      <c r="E34" s="10" t="s">
        <v>57</v>
      </c>
      <c r="F34" s="10" t="s">
        <v>47</v>
      </c>
      <c r="G34" s="10">
        <v>8500</v>
      </c>
      <c r="H34" s="10">
        <v>3600</v>
      </c>
      <c r="I34" s="10">
        <f t="shared" si="0"/>
        <v>12100</v>
      </c>
    </row>
    <row r="35" spans="1:9" x14ac:dyDescent="0.3">
      <c r="A35" s="10">
        <v>33</v>
      </c>
      <c r="B35" s="10" t="s">
        <v>258</v>
      </c>
      <c r="C35" s="10" t="s">
        <v>86</v>
      </c>
      <c r="D35" s="10" t="s">
        <v>71</v>
      </c>
      <c r="E35" s="10" t="s">
        <v>232</v>
      </c>
      <c r="F35" s="10" t="s">
        <v>47</v>
      </c>
      <c r="G35" s="10">
        <v>8500</v>
      </c>
      <c r="H35" s="10">
        <v>3600</v>
      </c>
      <c r="I35" s="10">
        <f t="shared" si="0"/>
        <v>12100</v>
      </c>
    </row>
    <row r="36" spans="1:9" x14ac:dyDescent="0.3">
      <c r="A36" s="10">
        <v>34</v>
      </c>
      <c r="B36" s="10" t="s">
        <v>258</v>
      </c>
      <c r="C36" s="10" t="s">
        <v>44</v>
      </c>
      <c r="D36" s="10" t="s">
        <v>53</v>
      </c>
      <c r="E36" s="10" t="s">
        <v>94</v>
      </c>
      <c r="F36" s="10" t="s">
        <v>63</v>
      </c>
      <c r="G36" s="10">
        <v>2800</v>
      </c>
      <c r="H36" s="10">
        <v>800</v>
      </c>
      <c r="I36" s="10">
        <f t="shared" si="0"/>
        <v>3600</v>
      </c>
    </row>
    <row r="37" spans="1:9" x14ac:dyDescent="0.3">
      <c r="F37" s="28" t="s">
        <v>41</v>
      </c>
      <c r="G37" s="9">
        <f>SUM(G3:G36)</f>
        <v>251700</v>
      </c>
      <c r="H37" s="9">
        <f>SUM(H3:H36)</f>
        <v>113600</v>
      </c>
      <c r="I37" s="9">
        <f>SUM(I3:I36)</f>
        <v>365300</v>
      </c>
    </row>
    <row r="41" spans="1:9" x14ac:dyDescent="0.3">
      <c r="A41" s="8" t="s">
        <v>263</v>
      </c>
    </row>
    <row r="42" spans="1:9" ht="28.8" x14ac:dyDescent="0.3">
      <c r="A42" s="26" t="s">
        <v>25</v>
      </c>
      <c r="B42" s="26" t="s">
        <v>26</v>
      </c>
      <c r="C42" s="26" t="s">
        <v>27</v>
      </c>
      <c r="D42" s="26" t="s">
        <v>28</v>
      </c>
      <c r="E42" s="26" t="s">
        <v>30</v>
      </c>
      <c r="F42" s="27" t="s">
        <v>34</v>
      </c>
      <c r="G42" s="26" t="s">
        <v>35</v>
      </c>
      <c r="H42" s="26" t="s">
        <v>36</v>
      </c>
      <c r="I42" s="27" t="s">
        <v>37</v>
      </c>
    </row>
    <row r="43" spans="1:9" x14ac:dyDescent="0.3">
      <c r="A43" s="10">
        <v>1</v>
      </c>
      <c r="B43" s="10" t="s">
        <v>264</v>
      </c>
      <c r="C43" s="10" t="s">
        <v>43</v>
      </c>
      <c r="D43" s="10" t="s">
        <v>44</v>
      </c>
      <c r="E43" s="10" t="s">
        <v>57</v>
      </c>
      <c r="F43" s="10" t="s">
        <v>47</v>
      </c>
      <c r="G43" s="10">
        <v>7500</v>
      </c>
      <c r="H43" s="10">
        <v>3600</v>
      </c>
      <c r="I43" s="10">
        <f>+H43+G43</f>
        <v>11100</v>
      </c>
    </row>
    <row r="44" spans="1:9" x14ac:dyDescent="0.3">
      <c r="A44" s="10">
        <v>2</v>
      </c>
      <c r="B44" s="10" t="s">
        <v>264</v>
      </c>
      <c r="C44" s="10" t="s">
        <v>43</v>
      </c>
      <c r="D44" s="10" t="s">
        <v>44</v>
      </c>
      <c r="E44" s="10" t="s">
        <v>77</v>
      </c>
      <c r="F44" s="10" t="s">
        <v>47</v>
      </c>
      <c r="G44" s="10">
        <v>7500</v>
      </c>
      <c r="H44" s="10">
        <v>3600</v>
      </c>
      <c r="I44" s="10">
        <f t="shared" ref="I44:I100" si="1">+H44+G44</f>
        <v>11100</v>
      </c>
    </row>
    <row r="45" spans="1:9" x14ac:dyDescent="0.3">
      <c r="A45" s="10">
        <v>3</v>
      </c>
      <c r="B45" s="10" t="s">
        <v>264</v>
      </c>
      <c r="C45" s="10" t="s">
        <v>43</v>
      </c>
      <c r="D45" s="10" t="s">
        <v>44</v>
      </c>
      <c r="E45" s="10" t="s">
        <v>125</v>
      </c>
      <c r="F45" s="10" t="s">
        <v>47</v>
      </c>
      <c r="G45" s="10">
        <v>7500</v>
      </c>
      <c r="H45" s="10">
        <v>3600</v>
      </c>
      <c r="I45" s="10">
        <f t="shared" si="1"/>
        <v>11100</v>
      </c>
    </row>
    <row r="46" spans="1:9" x14ac:dyDescent="0.3">
      <c r="A46" s="10">
        <v>4</v>
      </c>
      <c r="B46" s="10" t="s">
        <v>264</v>
      </c>
      <c r="C46" s="10" t="s">
        <v>71</v>
      </c>
      <c r="D46" s="10" t="s">
        <v>44</v>
      </c>
      <c r="E46" s="10" t="s">
        <v>232</v>
      </c>
      <c r="F46" s="10" t="s">
        <v>47</v>
      </c>
      <c r="G46" s="10">
        <v>7500</v>
      </c>
      <c r="H46" s="10">
        <v>3600</v>
      </c>
      <c r="I46" s="10">
        <f t="shared" si="1"/>
        <v>11100</v>
      </c>
    </row>
    <row r="47" spans="1:9" x14ac:dyDescent="0.3">
      <c r="A47" s="10">
        <v>5</v>
      </c>
      <c r="B47" s="10" t="s">
        <v>264</v>
      </c>
      <c r="C47" s="10" t="s">
        <v>71</v>
      </c>
      <c r="D47" s="10" t="s">
        <v>44</v>
      </c>
      <c r="E47" s="10" t="s">
        <v>233</v>
      </c>
      <c r="F47" s="10" t="s">
        <v>47</v>
      </c>
      <c r="G47" s="10">
        <v>7500</v>
      </c>
      <c r="H47" s="10">
        <v>3600</v>
      </c>
      <c r="I47" s="10">
        <f t="shared" si="1"/>
        <v>11100</v>
      </c>
    </row>
    <row r="48" spans="1:9" x14ac:dyDescent="0.3">
      <c r="A48" s="10">
        <v>6</v>
      </c>
      <c r="B48" s="10" t="s">
        <v>264</v>
      </c>
      <c r="C48" s="10" t="s">
        <v>71</v>
      </c>
      <c r="D48" s="10" t="s">
        <v>44</v>
      </c>
      <c r="E48" s="10" t="s">
        <v>92</v>
      </c>
      <c r="F48" s="10" t="s">
        <v>47</v>
      </c>
      <c r="G48" s="10">
        <v>7500</v>
      </c>
      <c r="H48" s="10">
        <v>3600</v>
      </c>
      <c r="I48" s="10">
        <f t="shared" si="1"/>
        <v>11100</v>
      </c>
    </row>
    <row r="49" spans="1:9" x14ac:dyDescent="0.3">
      <c r="A49" s="10">
        <v>7</v>
      </c>
      <c r="B49" s="10" t="s">
        <v>264</v>
      </c>
      <c r="C49" s="10" t="s">
        <v>44</v>
      </c>
      <c r="D49" s="10" t="s">
        <v>53</v>
      </c>
      <c r="E49" s="10" t="s">
        <v>60</v>
      </c>
      <c r="F49" s="10" t="s">
        <v>55</v>
      </c>
      <c r="G49" s="10">
        <v>4900</v>
      </c>
      <c r="H49" s="10">
        <v>1200</v>
      </c>
      <c r="I49" s="10">
        <f t="shared" si="1"/>
        <v>6100</v>
      </c>
    </row>
    <row r="50" spans="1:9" x14ac:dyDescent="0.3">
      <c r="A50" s="10">
        <v>8</v>
      </c>
      <c r="B50" s="10" t="s">
        <v>265</v>
      </c>
      <c r="C50" s="10" t="s">
        <v>43</v>
      </c>
      <c r="D50" s="10" t="s">
        <v>44</v>
      </c>
      <c r="E50" s="10" t="s">
        <v>57</v>
      </c>
      <c r="F50" s="10" t="s">
        <v>47</v>
      </c>
      <c r="G50" s="10">
        <v>7500</v>
      </c>
      <c r="H50" s="10">
        <v>3600</v>
      </c>
      <c r="I50" s="10">
        <f t="shared" si="1"/>
        <v>11100</v>
      </c>
    </row>
    <row r="51" spans="1:9" x14ac:dyDescent="0.3">
      <c r="A51" s="10">
        <v>9</v>
      </c>
      <c r="B51" s="10" t="s">
        <v>265</v>
      </c>
      <c r="C51" s="10" t="s">
        <v>43</v>
      </c>
      <c r="D51" s="10" t="s">
        <v>44</v>
      </c>
      <c r="E51" s="10" t="s">
        <v>125</v>
      </c>
      <c r="F51" s="10" t="s">
        <v>47</v>
      </c>
      <c r="G51" s="10">
        <v>7500</v>
      </c>
      <c r="H51" s="10">
        <v>3600</v>
      </c>
      <c r="I51" s="10">
        <f t="shared" si="1"/>
        <v>11100</v>
      </c>
    </row>
    <row r="52" spans="1:9" x14ac:dyDescent="0.3">
      <c r="A52" s="10">
        <v>10</v>
      </c>
      <c r="B52" s="10" t="s">
        <v>265</v>
      </c>
      <c r="C52" s="10" t="s">
        <v>71</v>
      </c>
      <c r="D52" s="10" t="s">
        <v>44</v>
      </c>
      <c r="E52" s="10" t="s">
        <v>97</v>
      </c>
      <c r="F52" s="10" t="s">
        <v>47</v>
      </c>
      <c r="G52" s="10">
        <v>7500</v>
      </c>
      <c r="H52" s="10">
        <v>3600</v>
      </c>
      <c r="I52" s="10">
        <f t="shared" si="1"/>
        <v>11100</v>
      </c>
    </row>
    <row r="53" spans="1:9" x14ac:dyDescent="0.3">
      <c r="A53" s="10">
        <v>11</v>
      </c>
      <c r="B53" s="10" t="s">
        <v>265</v>
      </c>
      <c r="C53" s="10" t="s">
        <v>86</v>
      </c>
      <c r="D53" s="10" t="s">
        <v>71</v>
      </c>
      <c r="E53" s="10" t="s">
        <v>77</v>
      </c>
      <c r="F53" s="10" t="s">
        <v>47</v>
      </c>
      <c r="G53" s="10">
        <v>7500</v>
      </c>
      <c r="H53" s="10">
        <v>3600</v>
      </c>
      <c r="I53" s="10">
        <f t="shared" si="1"/>
        <v>11100</v>
      </c>
    </row>
    <row r="54" spans="1:9" x14ac:dyDescent="0.3">
      <c r="A54" s="10">
        <v>12</v>
      </c>
      <c r="B54" s="10" t="s">
        <v>265</v>
      </c>
      <c r="C54" s="10" t="s">
        <v>86</v>
      </c>
      <c r="D54" s="10" t="s">
        <v>71</v>
      </c>
      <c r="E54" s="10" t="s">
        <v>267</v>
      </c>
      <c r="F54" s="10" t="s">
        <v>47</v>
      </c>
      <c r="G54" s="10">
        <v>7500</v>
      </c>
      <c r="H54" s="10">
        <v>3600</v>
      </c>
      <c r="I54" s="10">
        <f t="shared" si="1"/>
        <v>11100</v>
      </c>
    </row>
    <row r="55" spans="1:9" x14ac:dyDescent="0.3">
      <c r="A55" s="10">
        <v>13</v>
      </c>
      <c r="B55" s="10" t="s">
        <v>265</v>
      </c>
      <c r="C55" s="10" t="s">
        <v>44</v>
      </c>
      <c r="D55" s="10" t="s">
        <v>53</v>
      </c>
      <c r="E55" s="10" t="s">
        <v>92</v>
      </c>
      <c r="F55" s="10" t="s">
        <v>47</v>
      </c>
      <c r="G55" s="10">
        <v>5900</v>
      </c>
      <c r="H55" s="10">
        <v>3600</v>
      </c>
      <c r="I55" s="10">
        <f t="shared" si="1"/>
        <v>9500</v>
      </c>
    </row>
    <row r="56" spans="1:9" x14ac:dyDescent="0.3">
      <c r="A56" s="10">
        <v>14</v>
      </c>
      <c r="B56" s="10" t="s">
        <v>265</v>
      </c>
      <c r="C56" s="10" t="s">
        <v>98</v>
      </c>
      <c r="D56" s="10" t="s">
        <v>44</v>
      </c>
      <c r="E56" s="10" t="s">
        <v>57</v>
      </c>
      <c r="F56" s="10" t="s">
        <v>55</v>
      </c>
      <c r="G56" s="10">
        <v>5200</v>
      </c>
      <c r="H56" s="10">
        <v>1200</v>
      </c>
      <c r="I56" s="10">
        <f t="shared" si="1"/>
        <v>6400</v>
      </c>
    </row>
    <row r="57" spans="1:9" x14ac:dyDescent="0.3">
      <c r="A57" s="10">
        <v>15</v>
      </c>
      <c r="B57" s="10" t="s">
        <v>268</v>
      </c>
      <c r="C57" s="10" t="s">
        <v>43</v>
      </c>
      <c r="D57" s="10" t="s">
        <v>44</v>
      </c>
      <c r="E57" s="10" t="s">
        <v>125</v>
      </c>
      <c r="F57" s="10" t="s">
        <v>47</v>
      </c>
      <c r="G57" s="10">
        <v>7500</v>
      </c>
      <c r="H57" s="10">
        <v>3600</v>
      </c>
      <c r="I57" s="10">
        <f t="shared" si="1"/>
        <v>11100</v>
      </c>
    </row>
    <row r="58" spans="1:9" x14ac:dyDescent="0.3">
      <c r="A58" s="10">
        <v>16</v>
      </c>
      <c r="B58" s="10" t="s">
        <v>268</v>
      </c>
      <c r="C58" s="10" t="s">
        <v>43</v>
      </c>
      <c r="D58" s="10" t="s">
        <v>44</v>
      </c>
      <c r="E58" s="10" t="s">
        <v>77</v>
      </c>
      <c r="F58" s="10" t="s">
        <v>47</v>
      </c>
      <c r="G58" s="10">
        <v>7500</v>
      </c>
      <c r="H58" s="10">
        <v>3600</v>
      </c>
      <c r="I58" s="10">
        <f t="shared" si="1"/>
        <v>11100</v>
      </c>
    </row>
    <row r="59" spans="1:9" x14ac:dyDescent="0.3">
      <c r="A59" s="10">
        <v>17</v>
      </c>
      <c r="B59" s="10" t="s">
        <v>268</v>
      </c>
      <c r="C59" s="10" t="s">
        <v>71</v>
      </c>
      <c r="D59" s="10" t="s">
        <v>44</v>
      </c>
      <c r="E59" s="10" t="s">
        <v>57</v>
      </c>
      <c r="F59" s="10" t="s">
        <v>47</v>
      </c>
      <c r="G59" s="10">
        <v>7500</v>
      </c>
      <c r="H59" s="10">
        <v>3600</v>
      </c>
      <c r="I59" s="10">
        <f t="shared" si="1"/>
        <v>11100</v>
      </c>
    </row>
    <row r="60" spans="1:9" x14ac:dyDescent="0.3">
      <c r="A60" s="10">
        <v>18</v>
      </c>
      <c r="B60" s="10" t="s">
        <v>268</v>
      </c>
      <c r="C60" s="10" t="s">
        <v>320</v>
      </c>
      <c r="D60" s="10" t="s">
        <v>44</v>
      </c>
      <c r="E60" s="10" t="s">
        <v>92</v>
      </c>
      <c r="F60" s="10" t="s">
        <v>47</v>
      </c>
      <c r="G60" s="10">
        <v>7500</v>
      </c>
      <c r="H60" s="10">
        <v>3600</v>
      </c>
      <c r="I60" s="10">
        <f t="shared" si="1"/>
        <v>11100</v>
      </c>
    </row>
    <row r="61" spans="1:9" x14ac:dyDescent="0.3">
      <c r="A61" s="10">
        <v>19</v>
      </c>
      <c r="B61" s="10" t="s">
        <v>268</v>
      </c>
      <c r="C61" s="10" t="s">
        <v>86</v>
      </c>
      <c r="D61" s="10" t="s">
        <v>71</v>
      </c>
      <c r="E61" s="10" t="s">
        <v>57</v>
      </c>
      <c r="F61" s="10" t="s">
        <v>47</v>
      </c>
      <c r="G61" s="10">
        <v>7500</v>
      </c>
      <c r="H61" s="10">
        <v>3600</v>
      </c>
      <c r="I61" s="10">
        <f t="shared" si="1"/>
        <v>11100</v>
      </c>
    </row>
    <row r="62" spans="1:9" x14ac:dyDescent="0.3">
      <c r="A62" s="10">
        <v>20</v>
      </c>
      <c r="B62" s="10" t="s">
        <v>268</v>
      </c>
      <c r="C62" s="10" t="s">
        <v>44</v>
      </c>
      <c r="D62" s="10" t="s">
        <v>53</v>
      </c>
      <c r="E62" s="10" t="s">
        <v>77</v>
      </c>
      <c r="F62" s="10" t="s">
        <v>47</v>
      </c>
      <c r="G62" s="10">
        <v>5900</v>
      </c>
      <c r="H62" s="10">
        <v>3600</v>
      </c>
      <c r="I62" s="10">
        <f t="shared" si="1"/>
        <v>9500</v>
      </c>
    </row>
    <row r="63" spans="1:9" x14ac:dyDescent="0.3">
      <c r="A63" s="10">
        <v>21</v>
      </c>
      <c r="B63" s="10" t="s">
        <v>269</v>
      </c>
      <c r="C63" s="10" t="s">
        <v>43</v>
      </c>
      <c r="D63" s="10" t="s">
        <v>44</v>
      </c>
      <c r="E63" s="10" t="s">
        <v>92</v>
      </c>
      <c r="F63" s="10" t="s">
        <v>47</v>
      </c>
      <c r="G63" s="10">
        <v>7500</v>
      </c>
      <c r="H63" s="10">
        <v>3600</v>
      </c>
      <c r="I63" s="10">
        <f t="shared" si="1"/>
        <v>11100</v>
      </c>
    </row>
    <row r="64" spans="1:9" x14ac:dyDescent="0.3">
      <c r="A64" s="10">
        <v>22</v>
      </c>
      <c r="B64" s="10" t="s">
        <v>269</v>
      </c>
      <c r="C64" s="10" t="s">
        <v>71</v>
      </c>
      <c r="D64" s="10" t="s">
        <v>44</v>
      </c>
      <c r="E64" s="10" t="s">
        <v>57</v>
      </c>
      <c r="F64" s="10" t="s">
        <v>47</v>
      </c>
      <c r="G64" s="10">
        <v>7500</v>
      </c>
      <c r="H64" s="10">
        <v>3600</v>
      </c>
      <c r="I64" s="10">
        <f t="shared" si="1"/>
        <v>11100</v>
      </c>
    </row>
    <row r="65" spans="1:9" x14ac:dyDescent="0.3">
      <c r="A65" s="10">
        <v>23</v>
      </c>
      <c r="B65" s="10" t="s">
        <v>269</v>
      </c>
      <c r="C65" s="10" t="s">
        <v>86</v>
      </c>
      <c r="D65" s="10" t="s">
        <v>71</v>
      </c>
      <c r="E65" s="10" t="s">
        <v>125</v>
      </c>
      <c r="F65" s="10" t="s">
        <v>47</v>
      </c>
      <c r="G65" s="10">
        <v>7500</v>
      </c>
      <c r="H65" s="10">
        <v>3600</v>
      </c>
      <c r="I65" s="10">
        <f t="shared" si="1"/>
        <v>11100</v>
      </c>
    </row>
    <row r="66" spans="1:9" x14ac:dyDescent="0.3">
      <c r="A66" s="10">
        <v>24</v>
      </c>
      <c r="B66" s="10" t="s">
        <v>269</v>
      </c>
      <c r="C66" s="10" t="s">
        <v>86</v>
      </c>
      <c r="D66" s="10" t="s">
        <v>53</v>
      </c>
      <c r="E66" s="10" t="s">
        <v>60</v>
      </c>
      <c r="F66" s="10" t="s">
        <v>47</v>
      </c>
      <c r="G66" s="10">
        <v>7500</v>
      </c>
      <c r="H66" s="10">
        <v>3600</v>
      </c>
      <c r="I66" s="10">
        <f t="shared" si="1"/>
        <v>11100</v>
      </c>
    </row>
    <row r="67" spans="1:9" x14ac:dyDescent="0.3">
      <c r="A67" s="10">
        <v>25</v>
      </c>
      <c r="B67" s="10" t="s">
        <v>270</v>
      </c>
      <c r="C67" s="10" t="s">
        <v>43</v>
      </c>
      <c r="D67" s="10" t="s">
        <v>44</v>
      </c>
      <c r="E67" s="10" t="s">
        <v>77</v>
      </c>
      <c r="F67" s="10" t="s">
        <v>47</v>
      </c>
      <c r="G67" s="10">
        <v>7500</v>
      </c>
      <c r="H67" s="10">
        <v>3600</v>
      </c>
      <c r="I67" s="10">
        <f t="shared" si="1"/>
        <v>11100</v>
      </c>
    </row>
    <row r="68" spans="1:9" x14ac:dyDescent="0.3">
      <c r="A68" s="10">
        <v>26</v>
      </c>
      <c r="B68" s="10" t="s">
        <v>270</v>
      </c>
      <c r="C68" s="10" t="s">
        <v>71</v>
      </c>
      <c r="D68" s="10" t="s">
        <v>44</v>
      </c>
      <c r="E68" s="10" t="s">
        <v>57</v>
      </c>
      <c r="F68" s="10" t="s">
        <v>47</v>
      </c>
      <c r="G68" s="10">
        <v>7500</v>
      </c>
      <c r="H68" s="10">
        <v>3600</v>
      </c>
      <c r="I68" s="10">
        <f t="shared" si="1"/>
        <v>11100</v>
      </c>
    </row>
    <row r="69" spans="1:9" x14ac:dyDescent="0.3">
      <c r="A69" s="10">
        <v>27</v>
      </c>
      <c r="B69" s="10" t="s">
        <v>270</v>
      </c>
      <c r="C69" s="10" t="s">
        <v>44</v>
      </c>
      <c r="D69" s="10" t="s">
        <v>53</v>
      </c>
      <c r="E69" s="10" t="s">
        <v>92</v>
      </c>
      <c r="F69" s="10" t="s">
        <v>47</v>
      </c>
      <c r="G69" s="10">
        <v>5900</v>
      </c>
      <c r="H69" s="10">
        <v>3600</v>
      </c>
      <c r="I69" s="10">
        <f t="shared" si="1"/>
        <v>9500</v>
      </c>
    </row>
    <row r="70" spans="1:9" x14ac:dyDescent="0.3">
      <c r="A70" s="10">
        <v>28</v>
      </c>
      <c r="B70" s="10" t="s">
        <v>270</v>
      </c>
      <c r="C70" s="10" t="s">
        <v>44</v>
      </c>
      <c r="D70" s="10" t="s">
        <v>53</v>
      </c>
      <c r="E70" s="10" t="s">
        <v>77</v>
      </c>
      <c r="F70" s="10" t="s">
        <v>47</v>
      </c>
      <c r="G70" s="10">
        <v>5900</v>
      </c>
      <c r="H70" s="10">
        <v>3600</v>
      </c>
      <c r="I70" s="10">
        <f t="shared" si="1"/>
        <v>9500</v>
      </c>
    </row>
    <row r="71" spans="1:9" x14ac:dyDescent="0.3">
      <c r="A71" s="10">
        <v>29</v>
      </c>
      <c r="B71" s="10" t="s">
        <v>270</v>
      </c>
      <c r="C71" s="10" t="s">
        <v>44</v>
      </c>
      <c r="D71" s="10" t="s">
        <v>53</v>
      </c>
      <c r="E71" s="10" t="s">
        <v>60</v>
      </c>
      <c r="F71" s="10" t="s">
        <v>55</v>
      </c>
      <c r="G71" s="10">
        <v>4900</v>
      </c>
      <c r="H71" s="10">
        <v>1200</v>
      </c>
      <c r="I71" s="10">
        <f t="shared" si="1"/>
        <v>6100</v>
      </c>
    </row>
    <row r="72" spans="1:9" x14ac:dyDescent="0.3">
      <c r="A72" s="10">
        <v>30</v>
      </c>
      <c r="B72" s="10" t="s">
        <v>271</v>
      </c>
      <c r="C72" s="10" t="s">
        <v>43</v>
      </c>
      <c r="D72" s="10" t="s">
        <v>44</v>
      </c>
      <c r="E72" s="10" t="s">
        <v>77</v>
      </c>
      <c r="F72" s="10" t="s">
        <v>47</v>
      </c>
      <c r="G72" s="10">
        <v>7500</v>
      </c>
      <c r="H72" s="10">
        <v>3600</v>
      </c>
      <c r="I72" s="10">
        <f t="shared" si="1"/>
        <v>11100</v>
      </c>
    </row>
    <row r="73" spans="1:9" x14ac:dyDescent="0.3">
      <c r="A73" s="10">
        <v>31</v>
      </c>
      <c r="B73" s="10" t="s">
        <v>271</v>
      </c>
      <c r="C73" s="10" t="s">
        <v>71</v>
      </c>
      <c r="D73" s="10" t="s">
        <v>44</v>
      </c>
      <c r="E73" s="10" t="s">
        <v>57</v>
      </c>
      <c r="F73" s="10" t="s">
        <v>47</v>
      </c>
      <c r="G73" s="10">
        <v>7500</v>
      </c>
      <c r="H73" s="10">
        <v>3600</v>
      </c>
      <c r="I73" s="10">
        <f t="shared" si="1"/>
        <v>11100</v>
      </c>
    </row>
    <row r="74" spans="1:9" x14ac:dyDescent="0.3">
      <c r="A74" s="10">
        <v>32</v>
      </c>
      <c r="B74" s="10" t="s">
        <v>272</v>
      </c>
      <c r="C74" s="10" t="s">
        <v>43</v>
      </c>
      <c r="D74" s="10" t="s">
        <v>44</v>
      </c>
      <c r="E74" s="10" t="s">
        <v>57</v>
      </c>
      <c r="F74" s="10" t="s">
        <v>47</v>
      </c>
      <c r="G74" s="10">
        <v>7500</v>
      </c>
      <c r="H74" s="10">
        <v>3600</v>
      </c>
      <c r="I74" s="10">
        <f t="shared" si="1"/>
        <v>11100</v>
      </c>
    </row>
    <row r="75" spans="1:9" x14ac:dyDescent="0.3">
      <c r="A75" s="10">
        <v>33</v>
      </c>
      <c r="B75" s="10" t="s">
        <v>272</v>
      </c>
      <c r="C75" s="10" t="s">
        <v>71</v>
      </c>
      <c r="D75" s="10" t="s">
        <v>44</v>
      </c>
      <c r="E75" s="10" t="s">
        <v>92</v>
      </c>
      <c r="F75" s="10" t="s">
        <v>47</v>
      </c>
      <c r="G75" s="10">
        <v>7500</v>
      </c>
      <c r="H75" s="10">
        <v>3600</v>
      </c>
      <c r="I75" s="10">
        <f t="shared" si="1"/>
        <v>11100</v>
      </c>
    </row>
    <row r="76" spans="1:9" x14ac:dyDescent="0.3">
      <c r="A76" s="10">
        <v>34</v>
      </c>
      <c r="B76" s="10" t="s">
        <v>272</v>
      </c>
      <c r="C76" s="10" t="s">
        <v>71</v>
      </c>
      <c r="D76" s="10" t="s">
        <v>44</v>
      </c>
      <c r="E76" s="10" t="s">
        <v>125</v>
      </c>
      <c r="F76" s="10" t="s">
        <v>47</v>
      </c>
      <c r="G76" s="10">
        <v>7500</v>
      </c>
      <c r="H76" s="10">
        <v>3600</v>
      </c>
      <c r="I76" s="10">
        <f t="shared" si="1"/>
        <v>11100</v>
      </c>
    </row>
    <row r="77" spans="1:9" x14ac:dyDescent="0.3">
      <c r="A77" s="10">
        <v>35</v>
      </c>
      <c r="B77" s="10" t="s">
        <v>272</v>
      </c>
      <c r="C77" s="10" t="s">
        <v>86</v>
      </c>
      <c r="D77" s="10" t="s">
        <v>71</v>
      </c>
      <c r="E77" s="10" t="s">
        <v>77</v>
      </c>
      <c r="F77" s="10" t="s">
        <v>47</v>
      </c>
      <c r="G77" s="10">
        <v>7500</v>
      </c>
      <c r="H77" s="10">
        <v>3600</v>
      </c>
      <c r="I77" s="10">
        <f t="shared" si="1"/>
        <v>11100</v>
      </c>
    </row>
    <row r="78" spans="1:9" x14ac:dyDescent="0.3">
      <c r="A78" s="10">
        <v>36</v>
      </c>
      <c r="B78" s="10" t="s">
        <v>272</v>
      </c>
      <c r="C78" s="10" t="s">
        <v>86</v>
      </c>
      <c r="D78" s="10" t="s">
        <v>71</v>
      </c>
      <c r="E78" s="10" t="s">
        <v>233</v>
      </c>
      <c r="F78" s="10" t="s">
        <v>47</v>
      </c>
      <c r="G78" s="10">
        <v>7500</v>
      </c>
      <c r="H78" s="10">
        <v>3600</v>
      </c>
      <c r="I78" s="10">
        <f t="shared" si="1"/>
        <v>11100</v>
      </c>
    </row>
    <row r="79" spans="1:9" x14ac:dyDescent="0.3">
      <c r="A79" s="10">
        <v>37</v>
      </c>
      <c r="B79" s="10" t="s">
        <v>273</v>
      </c>
      <c r="C79" s="10" t="s">
        <v>71</v>
      </c>
      <c r="D79" s="10" t="s">
        <v>44</v>
      </c>
      <c r="E79" s="10" t="s">
        <v>77</v>
      </c>
      <c r="F79" s="10" t="s">
        <v>47</v>
      </c>
      <c r="G79" s="10">
        <v>7500</v>
      </c>
      <c r="H79" s="10">
        <v>3600</v>
      </c>
      <c r="I79" s="10">
        <f t="shared" si="1"/>
        <v>11100</v>
      </c>
    </row>
    <row r="80" spans="1:9" x14ac:dyDescent="0.3">
      <c r="A80" s="10">
        <v>38</v>
      </c>
      <c r="B80" s="10" t="s">
        <v>273</v>
      </c>
      <c r="C80" s="10" t="s">
        <v>86</v>
      </c>
      <c r="D80" s="10" t="s">
        <v>71</v>
      </c>
      <c r="E80" s="10" t="s">
        <v>57</v>
      </c>
      <c r="F80" s="10" t="s">
        <v>47</v>
      </c>
      <c r="G80" s="10">
        <v>7500</v>
      </c>
      <c r="H80" s="10">
        <v>3600</v>
      </c>
      <c r="I80" s="10">
        <f t="shared" si="1"/>
        <v>11100</v>
      </c>
    </row>
    <row r="81" spans="1:9" x14ac:dyDescent="0.3">
      <c r="A81" s="10">
        <v>39</v>
      </c>
      <c r="B81" s="10" t="s">
        <v>273</v>
      </c>
      <c r="C81" s="10" t="s">
        <v>43</v>
      </c>
      <c r="D81" s="10" t="s">
        <v>44</v>
      </c>
      <c r="E81" s="10" t="s">
        <v>60</v>
      </c>
      <c r="F81" s="10" t="s">
        <v>55</v>
      </c>
      <c r="G81" s="10">
        <v>6000</v>
      </c>
      <c r="H81" s="10">
        <v>1200</v>
      </c>
      <c r="I81" s="10">
        <f t="shared" si="1"/>
        <v>7200</v>
      </c>
    </row>
    <row r="82" spans="1:9" x14ac:dyDescent="0.3">
      <c r="A82" s="10">
        <v>40</v>
      </c>
      <c r="B82" s="10" t="s">
        <v>273</v>
      </c>
      <c r="C82" s="10" t="s">
        <v>44</v>
      </c>
      <c r="D82" s="10" t="s">
        <v>71</v>
      </c>
      <c r="E82" s="10" t="s">
        <v>60</v>
      </c>
      <c r="F82" s="10" t="s">
        <v>63</v>
      </c>
      <c r="G82" s="10">
        <v>3400</v>
      </c>
      <c r="H82" s="10">
        <v>1200</v>
      </c>
      <c r="I82" s="10">
        <f t="shared" si="1"/>
        <v>4600</v>
      </c>
    </row>
    <row r="83" spans="1:9" x14ac:dyDescent="0.3">
      <c r="A83" s="10">
        <v>41</v>
      </c>
      <c r="B83" s="10" t="s">
        <v>273</v>
      </c>
      <c r="C83" s="10" t="s">
        <v>44</v>
      </c>
      <c r="D83" s="10" t="s">
        <v>53</v>
      </c>
      <c r="E83" s="10" t="s">
        <v>77</v>
      </c>
      <c r="F83" s="10" t="s">
        <v>47</v>
      </c>
      <c r="G83" s="10">
        <v>5900</v>
      </c>
      <c r="H83" s="10">
        <v>3600</v>
      </c>
      <c r="I83" s="10">
        <f t="shared" si="1"/>
        <v>9500</v>
      </c>
    </row>
    <row r="84" spans="1:9" x14ac:dyDescent="0.3">
      <c r="A84" s="10">
        <v>42</v>
      </c>
      <c r="B84" s="10" t="s">
        <v>273</v>
      </c>
      <c r="C84" s="10" t="s">
        <v>71</v>
      </c>
      <c r="D84" s="10" t="s">
        <v>44</v>
      </c>
      <c r="E84" s="10" t="s">
        <v>267</v>
      </c>
      <c r="F84" s="10" t="s">
        <v>47</v>
      </c>
      <c r="G84" s="10">
        <v>7500</v>
      </c>
      <c r="H84" s="10">
        <v>3600</v>
      </c>
      <c r="I84" s="10">
        <f t="shared" si="1"/>
        <v>11100</v>
      </c>
    </row>
    <row r="85" spans="1:9" x14ac:dyDescent="0.3">
      <c r="A85" s="10">
        <v>43</v>
      </c>
      <c r="B85" s="10" t="s">
        <v>274</v>
      </c>
      <c r="C85" s="10" t="s">
        <v>43</v>
      </c>
      <c r="D85" s="10" t="s">
        <v>44</v>
      </c>
      <c r="E85" s="10" t="s">
        <v>77</v>
      </c>
      <c r="F85" s="10" t="s">
        <v>47</v>
      </c>
      <c r="G85" s="10">
        <v>7500</v>
      </c>
      <c r="H85" s="10">
        <v>3600</v>
      </c>
      <c r="I85" s="10">
        <f t="shared" si="1"/>
        <v>11100</v>
      </c>
    </row>
    <row r="86" spans="1:9" x14ac:dyDescent="0.3">
      <c r="A86" s="10">
        <v>44</v>
      </c>
      <c r="B86" s="10" t="s">
        <v>274</v>
      </c>
      <c r="C86" s="10" t="s">
        <v>43</v>
      </c>
      <c r="D86" s="10" t="s">
        <v>44</v>
      </c>
      <c r="E86" s="10" t="s">
        <v>92</v>
      </c>
      <c r="F86" s="10" t="s">
        <v>47</v>
      </c>
      <c r="G86" s="10">
        <v>7500</v>
      </c>
      <c r="H86" s="10">
        <v>3600</v>
      </c>
      <c r="I86" s="10">
        <f t="shared" si="1"/>
        <v>11100</v>
      </c>
    </row>
    <row r="87" spans="1:9" x14ac:dyDescent="0.3">
      <c r="A87" s="10">
        <v>45</v>
      </c>
      <c r="B87" s="10" t="s">
        <v>274</v>
      </c>
      <c r="C87" s="10" t="s">
        <v>71</v>
      </c>
      <c r="D87" s="10" t="s">
        <v>44</v>
      </c>
      <c r="E87" s="10" t="s">
        <v>60</v>
      </c>
      <c r="F87" s="10" t="s">
        <v>61</v>
      </c>
      <c r="G87" s="10">
        <v>5200</v>
      </c>
      <c r="H87" s="10">
        <v>1200</v>
      </c>
      <c r="I87" s="10">
        <f t="shared" si="1"/>
        <v>6400</v>
      </c>
    </row>
    <row r="88" spans="1:9" x14ac:dyDescent="0.3">
      <c r="A88" s="10">
        <v>46</v>
      </c>
      <c r="B88" s="10" t="s">
        <v>274</v>
      </c>
      <c r="C88" s="10" t="s">
        <v>44</v>
      </c>
      <c r="D88" s="10" t="s">
        <v>53</v>
      </c>
      <c r="E88" s="10" t="s">
        <v>60</v>
      </c>
      <c r="F88" s="10" t="s">
        <v>63</v>
      </c>
      <c r="G88" s="10">
        <v>3500</v>
      </c>
      <c r="H88" s="10">
        <v>600</v>
      </c>
      <c r="I88" s="10">
        <f t="shared" si="1"/>
        <v>4100</v>
      </c>
    </row>
    <row r="89" spans="1:9" x14ac:dyDescent="0.3">
      <c r="A89" s="10">
        <v>47</v>
      </c>
      <c r="B89" s="10" t="s">
        <v>274</v>
      </c>
      <c r="C89" s="10" t="s">
        <v>86</v>
      </c>
      <c r="D89" s="10" t="s">
        <v>71</v>
      </c>
      <c r="E89" s="10" t="s">
        <v>77</v>
      </c>
      <c r="F89" s="10" t="s">
        <v>47</v>
      </c>
      <c r="G89" s="10">
        <v>7500</v>
      </c>
      <c r="H89" s="10">
        <v>3600</v>
      </c>
      <c r="I89" s="10">
        <f t="shared" si="1"/>
        <v>11100</v>
      </c>
    </row>
    <row r="90" spans="1:9" x14ac:dyDescent="0.3">
      <c r="A90" s="10">
        <v>48</v>
      </c>
      <c r="B90" s="10" t="s">
        <v>274</v>
      </c>
      <c r="C90" s="10" t="s">
        <v>141</v>
      </c>
      <c r="D90" s="10" t="s">
        <v>44</v>
      </c>
      <c r="E90" s="10" t="s">
        <v>94</v>
      </c>
      <c r="F90" s="10" t="s">
        <v>63</v>
      </c>
      <c r="G90" s="10">
        <v>3500</v>
      </c>
      <c r="H90" s="10">
        <v>1000</v>
      </c>
      <c r="I90" s="10">
        <f t="shared" si="1"/>
        <v>4500</v>
      </c>
    </row>
    <row r="91" spans="1:9" x14ac:dyDescent="0.3">
      <c r="A91" s="10">
        <v>49</v>
      </c>
      <c r="B91" s="10" t="s">
        <v>275</v>
      </c>
      <c r="C91" s="10" t="s">
        <v>43</v>
      </c>
      <c r="D91" s="10" t="s">
        <v>44</v>
      </c>
      <c r="E91" s="10" t="s">
        <v>77</v>
      </c>
      <c r="F91" s="10" t="s">
        <v>47</v>
      </c>
      <c r="G91" s="10">
        <v>7500</v>
      </c>
      <c r="H91" s="10">
        <v>3600</v>
      </c>
      <c r="I91" s="10">
        <f t="shared" si="1"/>
        <v>11100</v>
      </c>
    </row>
    <row r="92" spans="1:9" x14ac:dyDescent="0.3">
      <c r="A92" s="10">
        <v>50</v>
      </c>
      <c r="B92" s="10" t="s">
        <v>275</v>
      </c>
      <c r="C92" s="10" t="s">
        <v>43</v>
      </c>
      <c r="D92" s="10" t="s">
        <v>44</v>
      </c>
      <c r="E92" s="10" t="s">
        <v>125</v>
      </c>
      <c r="F92" s="10" t="s">
        <v>47</v>
      </c>
      <c r="G92" s="10">
        <v>7500</v>
      </c>
      <c r="H92" s="10">
        <v>3600</v>
      </c>
      <c r="I92" s="10">
        <f t="shared" si="1"/>
        <v>11100</v>
      </c>
    </row>
    <row r="93" spans="1:9" x14ac:dyDescent="0.3">
      <c r="A93" s="10">
        <v>51</v>
      </c>
      <c r="B93" s="10" t="s">
        <v>275</v>
      </c>
      <c r="C93" s="10" t="s">
        <v>71</v>
      </c>
      <c r="D93" s="10" t="s">
        <v>44</v>
      </c>
      <c r="E93" s="10" t="s">
        <v>92</v>
      </c>
      <c r="F93" s="10" t="s">
        <v>47</v>
      </c>
      <c r="G93" s="10">
        <v>7500</v>
      </c>
      <c r="H93" s="10">
        <v>3600</v>
      </c>
      <c r="I93" s="10">
        <f t="shared" si="1"/>
        <v>11100</v>
      </c>
    </row>
    <row r="94" spans="1:9" x14ac:dyDescent="0.3">
      <c r="A94" s="10">
        <v>52</v>
      </c>
      <c r="B94" s="10" t="s">
        <v>275</v>
      </c>
      <c r="C94" s="10" t="s">
        <v>86</v>
      </c>
      <c r="D94" s="10" t="s">
        <v>71</v>
      </c>
      <c r="E94" s="10" t="s">
        <v>57</v>
      </c>
      <c r="F94" s="10" t="s">
        <v>47</v>
      </c>
      <c r="G94" s="10">
        <v>7500</v>
      </c>
      <c r="H94" s="10">
        <v>3600</v>
      </c>
      <c r="I94" s="10">
        <f t="shared" si="1"/>
        <v>11100</v>
      </c>
    </row>
    <row r="95" spans="1:9" x14ac:dyDescent="0.3">
      <c r="A95" s="10">
        <v>53</v>
      </c>
      <c r="B95" s="10" t="s">
        <v>275</v>
      </c>
      <c r="C95" s="10" t="s">
        <v>86</v>
      </c>
      <c r="D95" s="10" t="s">
        <v>71</v>
      </c>
      <c r="E95" s="10" t="s">
        <v>278</v>
      </c>
      <c r="F95" s="10" t="s">
        <v>47</v>
      </c>
      <c r="G95" s="10">
        <v>7500</v>
      </c>
      <c r="H95" s="10">
        <v>3600</v>
      </c>
      <c r="I95" s="10">
        <f t="shared" si="1"/>
        <v>11100</v>
      </c>
    </row>
    <row r="96" spans="1:9" x14ac:dyDescent="0.3">
      <c r="A96" s="10">
        <v>54</v>
      </c>
      <c r="B96" s="10" t="s">
        <v>275</v>
      </c>
      <c r="C96" s="10" t="s">
        <v>86</v>
      </c>
      <c r="D96" s="10" t="s">
        <v>71</v>
      </c>
      <c r="E96" s="10" t="s">
        <v>267</v>
      </c>
      <c r="F96" s="10" t="s">
        <v>47</v>
      </c>
      <c r="G96" s="10">
        <v>7500</v>
      </c>
      <c r="H96" s="10">
        <v>3600</v>
      </c>
      <c r="I96" s="10">
        <f t="shared" si="1"/>
        <v>11100</v>
      </c>
    </row>
    <row r="97" spans="1:9" x14ac:dyDescent="0.3">
      <c r="A97" s="10">
        <v>55</v>
      </c>
      <c r="B97" s="10" t="s">
        <v>275</v>
      </c>
      <c r="C97" s="10" t="s">
        <v>44</v>
      </c>
      <c r="D97" s="10" t="s">
        <v>53</v>
      </c>
      <c r="E97" s="10" t="s">
        <v>77</v>
      </c>
      <c r="F97" s="10" t="s">
        <v>47</v>
      </c>
      <c r="G97" s="10">
        <v>5900</v>
      </c>
      <c r="H97" s="10">
        <v>3600</v>
      </c>
      <c r="I97" s="10">
        <f t="shared" si="1"/>
        <v>9500</v>
      </c>
    </row>
    <row r="98" spans="1:9" x14ac:dyDescent="0.3">
      <c r="A98" s="10">
        <v>56</v>
      </c>
      <c r="B98" s="10" t="s">
        <v>275</v>
      </c>
      <c r="C98" s="10" t="s">
        <v>44</v>
      </c>
      <c r="D98" s="10" t="s">
        <v>53</v>
      </c>
      <c r="E98" s="10" t="s">
        <v>279</v>
      </c>
      <c r="F98" s="10" t="s">
        <v>47</v>
      </c>
      <c r="G98" s="10">
        <v>5900</v>
      </c>
      <c r="H98" s="10">
        <v>3600</v>
      </c>
      <c r="I98" s="10">
        <f t="shared" si="1"/>
        <v>9500</v>
      </c>
    </row>
    <row r="99" spans="1:9" x14ac:dyDescent="0.3">
      <c r="A99" s="10">
        <v>57</v>
      </c>
      <c r="B99" s="10" t="s">
        <v>280</v>
      </c>
      <c r="C99" s="10" t="s">
        <v>71</v>
      </c>
      <c r="D99" s="10" t="s">
        <v>44</v>
      </c>
      <c r="E99" s="10" t="s">
        <v>77</v>
      </c>
      <c r="F99" s="10" t="s">
        <v>47</v>
      </c>
      <c r="G99" s="10">
        <v>7500</v>
      </c>
      <c r="H99" s="10">
        <v>3600</v>
      </c>
      <c r="I99" s="10">
        <f t="shared" si="1"/>
        <v>11100</v>
      </c>
    </row>
    <row r="100" spans="1:9" x14ac:dyDescent="0.3">
      <c r="A100" s="10">
        <v>58</v>
      </c>
      <c r="B100" s="10" t="s">
        <v>280</v>
      </c>
      <c r="C100" s="10" t="s">
        <v>86</v>
      </c>
      <c r="D100" s="10" t="s">
        <v>71</v>
      </c>
      <c r="E100" s="10" t="s">
        <v>278</v>
      </c>
      <c r="F100" s="10" t="s">
        <v>47</v>
      </c>
      <c r="G100" s="10">
        <v>7500</v>
      </c>
      <c r="H100" s="10">
        <v>3600</v>
      </c>
      <c r="I100" s="10">
        <f t="shared" si="1"/>
        <v>11100</v>
      </c>
    </row>
    <row r="101" spans="1:9" x14ac:dyDescent="0.3">
      <c r="F101" s="28" t="s">
        <v>41</v>
      </c>
      <c r="G101" s="9">
        <f>SUM(G43:G100)</f>
        <v>400400</v>
      </c>
      <c r="H101" s="9">
        <f>SUM(H43:H100)</f>
        <v>188800</v>
      </c>
      <c r="I101" s="9">
        <f>SUM(I43:I100)</f>
        <v>589200</v>
      </c>
    </row>
    <row r="103" spans="1:9" x14ac:dyDescent="0.3">
      <c r="G103" s="8">
        <f>+G101+G37</f>
        <v>652100</v>
      </c>
      <c r="H103" s="8">
        <f>+H101+H37</f>
        <v>302400</v>
      </c>
      <c r="I103" s="8">
        <f>+I101+I37</f>
        <v>954500</v>
      </c>
    </row>
  </sheetData>
  <autoFilter ref="A42:I101" xr:uid="{2487AA20-7011-4BB5-9181-023B82084E8E}"/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fitToHeight="2" orientation="landscape" r:id="rId1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79BD-720F-4E81-A11A-8752F1E7D4E8}">
  <sheetPr>
    <pageSetUpPr fitToPage="1"/>
  </sheetPr>
  <dimension ref="A1:J101"/>
  <sheetViews>
    <sheetView showGridLines="0" topLeftCell="A37" zoomScale="102" zoomScaleNormal="160" workbookViewId="0">
      <selection activeCell="G48" sqref="G48:I48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10" x14ac:dyDescent="0.3">
      <c r="A1" s="8" t="s">
        <v>276</v>
      </c>
    </row>
    <row r="2" spans="1:10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10" x14ac:dyDescent="0.3">
      <c r="A3" s="10">
        <v>1</v>
      </c>
      <c r="B3" s="10" t="s">
        <v>281</v>
      </c>
      <c r="C3" s="10" t="s">
        <v>43</v>
      </c>
      <c r="D3" s="10" t="s">
        <v>44</v>
      </c>
      <c r="E3" s="10" t="s">
        <v>77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10" x14ac:dyDescent="0.3">
      <c r="A4" s="10">
        <v>2</v>
      </c>
      <c r="B4" s="10" t="s">
        <v>281</v>
      </c>
      <c r="C4" s="10" t="s">
        <v>43</v>
      </c>
      <c r="D4" s="10" t="s">
        <v>44</v>
      </c>
      <c r="E4" s="10" t="s">
        <v>282</v>
      </c>
      <c r="F4" s="10" t="s">
        <v>47</v>
      </c>
      <c r="G4" s="10">
        <v>7500</v>
      </c>
      <c r="H4" s="10">
        <v>3600</v>
      </c>
      <c r="I4" s="10">
        <f t="shared" ref="I4:I42" si="0">+H4+G4</f>
        <v>11100</v>
      </c>
    </row>
    <row r="5" spans="1:10" x14ac:dyDescent="0.3">
      <c r="A5" s="10">
        <v>3</v>
      </c>
      <c r="B5" s="10" t="s">
        <v>281</v>
      </c>
      <c r="C5" s="10" t="s">
        <v>71</v>
      </c>
      <c r="D5" s="10" t="s">
        <v>44</v>
      </c>
      <c r="E5" s="10" t="s">
        <v>125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10" x14ac:dyDescent="0.3">
      <c r="A6" s="10">
        <v>4</v>
      </c>
      <c r="B6" s="10" t="s">
        <v>281</v>
      </c>
      <c r="C6" s="10" t="s">
        <v>71</v>
      </c>
      <c r="D6" s="10" t="s">
        <v>44</v>
      </c>
      <c r="E6" s="10" t="s">
        <v>283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10" x14ac:dyDescent="0.3">
      <c r="A7" s="10">
        <v>5</v>
      </c>
      <c r="B7" s="10" t="s">
        <v>284</v>
      </c>
      <c r="C7" s="10" t="s">
        <v>43</v>
      </c>
      <c r="D7" s="10" t="s">
        <v>44</v>
      </c>
      <c r="E7" s="10" t="s">
        <v>77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10" x14ac:dyDescent="0.3">
      <c r="A8" s="10">
        <v>6</v>
      </c>
      <c r="B8" s="10" t="s">
        <v>284</v>
      </c>
      <c r="C8" s="10" t="s">
        <v>71</v>
      </c>
      <c r="D8" s="10" t="s">
        <v>44</v>
      </c>
      <c r="E8" s="10" t="s">
        <v>125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10" x14ac:dyDescent="0.3">
      <c r="A9" s="10">
        <v>7</v>
      </c>
      <c r="B9" s="10" t="s">
        <v>284</v>
      </c>
      <c r="C9" s="10" t="s">
        <v>285</v>
      </c>
      <c r="D9" s="10" t="s">
        <v>44</v>
      </c>
      <c r="E9" s="10" t="s">
        <v>283</v>
      </c>
      <c r="F9" s="10" t="s">
        <v>47</v>
      </c>
      <c r="G9" s="10">
        <v>6200</v>
      </c>
      <c r="H9" s="10">
        <v>3600</v>
      </c>
      <c r="I9" s="10">
        <f t="shared" si="0"/>
        <v>9800</v>
      </c>
      <c r="J9" t="s">
        <v>319</v>
      </c>
    </row>
    <row r="10" spans="1:10" x14ac:dyDescent="0.3">
      <c r="A10" s="10">
        <v>8</v>
      </c>
      <c r="B10" s="10" t="s">
        <v>284</v>
      </c>
      <c r="C10" s="10" t="s">
        <v>285</v>
      </c>
      <c r="D10" s="10" t="s">
        <v>44</v>
      </c>
      <c r="E10" s="10" t="s">
        <v>282</v>
      </c>
      <c r="F10" s="10" t="s">
        <v>47</v>
      </c>
      <c r="G10" s="10">
        <v>6200</v>
      </c>
      <c r="H10" s="10">
        <v>3600</v>
      </c>
      <c r="I10" s="10">
        <f t="shared" si="0"/>
        <v>9800</v>
      </c>
      <c r="J10" t="s">
        <v>319</v>
      </c>
    </row>
    <row r="11" spans="1:10" x14ac:dyDescent="0.3">
      <c r="A11" s="10">
        <v>9</v>
      </c>
      <c r="B11" s="10" t="s">
        <v>284</v>
      </c>
      <c r="C11" s="10" t="s">
        <v>286</v>
      </c>
      <c r="D11" s="10" t="s">
        <v>44</v>
      </c>
      <c r="E11" s="10" t="s">
        <v>94</v>
      </c>
      <c r="F11" s="10" t="s">
        <v>63</v>
      </c>
      <c r="G11" s="10">
        <v>3500</v>
      </c>
      <c r="H11" s="10">
        <v>600</v>
      </c>
      <c r="I11" s="10">
        <f t="shared" si="0"/>
        <v>4100</v>
      </c>
    </row>
    <row r="12" spans="1:10" x14ac:dyDescent="0.3">
      <c r="A12" s="10">
        <v>10</v>
      </c>
      <c r="B12" s="10" t="s">
        <v>287</v>
      </c>
      <c r="C12" s="10" t="s">
        <v>71</v>
      </c>
      <c r="D12" s="10" t="s">
        <v>44</v>
      </c>
      <c r="E12" s="10" t="s">
        <v>77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10" x14ac:dyDescent="0.3">
      <c r="A13" s="10">
        <v>11</v>
      </c>
      <c r="B13" s="10" t="s">
        <v>287</v>
      </c>
      <c r="C13" s="10" t="s">
        <v>44</v>
      </c>
      <c r="D13" s="10" t="s">
        <v>288</v>
      </c>
      <c r="E13" s="10" t="s">
        <v>94</v>
      </c>
      <c r="F13" s="10" t="s">
        <v>63</v>
      </c>
      <c r="G13" s="10">
        <v>3500</v>
      </c>
      <c r="H13" s="10">
        <v>600</v>
      </c>
      <c r="I13" s="10">
        <f t="shared" si="0"/>
        <v>4100</v>
      </c>
    </row>
    <row r="14" spans="1:10" x14ac:dyDescent="0.3">
      <c r="A14" s="10">
        <v>12</v>
      </c>
      <c r="B14" s="10" t="s">
        <v>289</v>
      </c>
      <c r="C14" s="10" t="s">
        <v>43</v>
      </c>
      <c r="D14" s="10" t="s">
        <v>44</v>
      </c>
      <c r="E14" s="10" t="s">
        <v>282</v>
      </c>
      <c r="F14" s="10" t="s">
        <v>47</v>
      </c>
      <c r="G14" s="10">
        <v>7500</v>
      </c>
      <c r="H14" s="10">
        <v>3600</v>
      </c>
      <c r="I14" s="10">
        <f t="shared" si="0"/>
        <v>11100</v>
      </c>
    </row>
    <row r="15" spans="1:10" x14ac:dyDescent="0.3">
      <c r="A15" s="10">
        <v>13</v>
      </c>
      <c r="B15" s="10" t="s">
        <v>289</v>
      </c>
      <c r="C15" s="10" t="s">
        <v>71</v>
      </c>
      <c r="D15" s="10" t="s">
        <v>44</v>
      </c>
      <c r="E15" s="10" t="s">
        <v>57</v>
      </c>
      <c r="F15" s="10" t="s">
        <v>47</v>
      </c>
      <c r="G15" s="10">
        <v>7500</v>
      </c>
      <c r="H15" s="10">
        <v>3600</v>
      </c>
      <c r="I15" s="10">
        <f t="shared" si="0"/>
        <v>11100</v>
      </c>
    </row>
    <row r="16" spans="1:10" x14ac:dyDescent="0.3">
      <c r="A16" s="10">
        <v>14</v>
      </c>
      <c r="B16" s="10" t="s">
        <v>289</v>
      </c>
      <c r="C16" s="10" t="s">
        <v>44</v>
      </c>
      <c r="D16" s="10" t="s">
        <v>124</v>
      </c>
      <c r="E16" s="10" t="s">
        <v>125</v>
      </c>
      <c r="F16" s="10" t="s">
        <v>47</v>
      </c>
      <c r="G16" s="10">
        <v>5900</v>
      </c>
      <c r="H16" s="10">
        <v>3600</v>
      </c>
      <c r="I16" s="10">
        <f t="shared" si="0"/>
        <v>9500</v>
      </c>
    </row>
    <row r="17" spans="1:9" x14ac:dyDescent="0.3">
      <c r="A17" s="10">
        <v>15</v>
      </c>
      <c r="B17" s="10" t="s">
        <v>289</v>
      </c>
      <c r="C17" s="10" t="s">
        <v>86</v>
      </c>
      <c r="D17" s="10" t="s">
        <v>288</v>
      </c>
      <c r="E17" s="10" t="s">
        <v>290</v>
      </c>
      <c r="F17" s="10" t="s">
        <v>47</v>
      </c>
      <c r="G17" s="10">
        <v>8500</v>
      </c>
      <c r="H17" s="10">
        <v>3600</v>
      </c>
      <c r="I17" s="10">
        <f t="shared" si="0"/>
        <v>12100</v>
      </c>
    </row>
    <row r="18" spans="1:9" x14ac:dyDescent="0.3">
      <c r="A18" s="10">
        <v>16</v>
      </c>
      <c r="B18" s="10" t="s">
        <v>289</v>
      </c>
      <c r="C18" s="10" t="s">
        <v>86</v>
      </c>
      <c r="D18" s="10" t="s">
        <v>288</v>
      </c>
      <c r="E18" s="10" t="s">
        <v>291</v>
      </c>
      <c r="F18" s="10" t="s">
        <v>47</v>
      </c>
      <c r="G18" s="10">
        <v>8500</v>
      </c>
      <c r="H18" s="10">
        <v>3600</v>
      </c>
      <c r="I18" s="10">
        <f t="shared" si="0"/>
        <v>12100</v>
      </c>
    </row>
    <row r="19" spans="1:9" x14ac:dyDescent="0.3">
      <c r="A19" s="10">
        <v>17</v>
      </c>
      <c r="B19" s="10" t="s">
        <v>292</v>
      </c>
      <c r="C19" s="10" t="s">
        <v>44</v>
      </c>
      <c r="D19" s="10" t="s">
        <v>288</v>
      </c>
      <c r="E19" s="10" t="s">
        <v>282</v>
      </c>
      <c r="F19" s="10" t="s">
        <v>47</v>
      </c>
      <c r="G19" s="10">
        <v>6200</v>
      </c>
      <c r="H19" s="10">
        <v>3600</v>
      </c>
      <c r="I19" s="10">
        <f t="shared" si="0"/>
        <v>9800</v>
      </c>
    </row>
    <row r="20" spans="1:9" x14ac:dyDescent="0.3">
      <c r="A20" s="10">
        <v>18</v>
      </c>
      <c r="B20" s="10" t="s">
        <v>292</v>
      </c>
      <c r="C20" s="10" t="s">
        <v>43</v>
      </c>
      <c r="D20" s="10" t="s">
        <v>44</v>
      </c>
      <c r="E20" s="10" t="s">
        <v>57</v>
      </c>
      <c r="F20" s="10" t="s">
        <v>47</v>
      </c>
      <c r="G20" s="10">
        <v>7500</v>
      </c>
      <c r="H20" s="10">
        <v>3600</v>
      </c>
      <c r="I20" s="10">
        <f t="shared" si="0"/>
        <v>11100</v>
      </c>
    </row>
    <row r="21" spans="1:9" x14ac:dyDescent="0.3">
      <c r="A21" s="10">
        <v>19</v>
      </c>
      <c r="B21" s="10" t="s">
        <v>292</v>
      </c>
      <c r="C21" s="10" t="s">
        <v>71</v>
      </c>
      <c r="D21" s="10" t="s">
        <v>44</v>
      </c>
      <c r="E21" s="10" t="s">
        <v>77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10" t="s">
        <v>292</v>
      </c>
      <c r="C22" s="10" t="s">
        <v>44</v>
      </c>
      <c r="D22" s="10" t="s">
        <v>288</v>
      </c>
      <c r="E22" s="10" t="s">
        <v>60</v>
      </c>
      <c r="F22" s="10" t="s">
        <v>61</v>
      </c>
      <c r="G22" s="10">
        <v>4900</v>
      </c>
      <c r="H22" s="10">
        <v>1000</v>
      </c>
      <c r="I22" s="10">
        <f t="shared" si="0"/>
        <v>5900</v>
      </c>
    </row>
    <row r="23" spans="1:9" x14ac:dyDescent="0.3">
      <c r="A23" s="10">
        <v>21</v>
      </c>
      <c r="B23" s="10" t="s">
        <v>293</v>
      </c>
      <c r="C23" s="10" t="s">
        <v>43</v>
      </c>
      <c r="D23" s="10" t="s">
        <v>44</v>
      </c>
      <c r="E23" s="10" t="s">
        <v>291</v>
      </c>
      <c r="F23" s="10" t="s">
        <v>47</v>
      </c>
      <c r="G23" s="10">
        <v>7500</v>
      </c>
      <c r="H23" s="10">
        <v>3600</v>
      </c>
      <c r="I23" s="10">
        <f>+H23+G23</f>
        <v>11100</v>
      </c>
    </row>
    <row r="24" spans="1:9" x14ac:dyDescent="0.3">
      <c r="A24" s="10">
        <v>22</v>
      </c>
      <c r="B24" s="10" t="s">
        <v>293</v>
      </c>
      <c r="C24" s="10" t="s">
        <v>71</v>
      </c>
      <c r="D24" s="10" t="s">
        <v>44</v>
      </c>
      <c r="E24" s="10" t="s">
        <v>283</v>
      </c>
      <c r="F24" s="10" t="s">
        <v>47</v>
      </c>
      <c r="G24" s="10">
        <v>7500</v>
      </c>
      <c r="H24" s="10">
        <v>3600</v>
      </c>
      <c r="I24" s="10">
        <f t="shared" si="0"/>
        <v>11100</v>
      </c>
    </row>
    <row r="25" spans="1:9" x14ac:dyDescent="0.3">
      <c r="A25" s="10">
        <v>23</v>
      </c>
      <c r="B25" s="10" t="s">
        <v>293</v>
      </c>
      <c r="C25" s="10" t="s">
        <v>71</v>
      </c>
      <c r="D25" s="10" t="s">
        <v>44</v>
      </c>
      <c r="E25" s="10" t="s">
        <v>295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293</v>
      </c>
      <c r="C26" s="10" t="s">
        <v>71</v>
      </c>
      <c r="D26" s="10" t="s">
        <v>44</v>
      </c>
      <c r="E26" s="10" t="s">
        <v>294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10" t="s">
        <v>293</v>
      </c>
      <c r="C27" s="10" t="s">
        <v>44</v>
      </c>
      <c r="D27" s="10" t="s">
        <v>288</v>
      </c>
      <c r="E27" s="10" t="s">
        <v>282</v>
      </c>
      <c r="F27" s="10" t="s">
        <v>47</v>
      </c>
      <c r="G27" s="10">
        <v>6200</v>
      </c>
      <c r="H27" s="10">
        <v>3600</v>
      </c>
      <c r="I27" s="10">
        <f t="shared" si="0"/>
        <v>9800</v>
      </c>
    </row>
    <row r="28" spans="1:9" x14ac:dyDescent="0.3">
      <c r="A28" s="10">
        <v>26</v>
      </c>
      <c r="B28" s="10" t="s">
        <v>296</v>
      </c>
      <c r="C28" s="10" t="s">
        <v>43</v>
      </c>
      <c r="D28" s="10" t="s">
        <v>44</v>
      </c>
      <c r="E28" s="10" t="s">
        <v>77</v>
      </c>
      <c r="F28" s="10" t="s">
        <v>47</v>
      </c>
      <c r="G28" s="10">
        <v>7500</v>
      </c>
      <c r="H28" s="10">
        <v>3600</v>
      </c>
      <c r="I28" s="10">
        <f t="shared" si="0"/>
        <v>11100</v>
      </c>
    </row>
    <row r="29" spans="1:9" x14ac:dyDescent="0.3">
      <c r="A29" s="10">
        <v>27</v>
      </c>
      <c r="B29" s="10" t="s">
        <v>296</v>
      </c>
      <c r="C29" s="10" t="s">
        <v>71</v>
      </c>
      <c r="D29" s="10" t="s">
        <v>44</v>
      </c>
      <c r="E29" s="10" t="s">
        <v>125</v>
      </c>
      <c r="F29" s="10" t="s">
        <v>47</v>
      </c>
      <c r="G29" s="10">
        <v>7500</v>
      </c>
      <c r="H29" s="10">
        <v>3600</v>
      </c>
      <c r="I29" s="10">
        <f t="shared" si="0"/>
        <v>11100</v>
      </c>
    </row>
    <row r="30" spans="1:9" x14ac:dyDescent="0.3">
      <c r="A30" s="10">
        <v>28</v>
      </c>
      <c r="B30" s="10" t="s">
        <v>296</v>
      </c>
      <c r="C30" s="10" t="s">
        <v>44</v>
      </c>
      <c r="D30" s="10" t="s">
        <v>124</v>
      </c>
      <c r="E30" s="10" t="s">
        <v>282</v>
      </c>
      <c r="F30" s="10" t="s">
        <v>55</v>
      </c>
      <c r="G30" s="10">
        <v>4900</v>
      </c>
      <c r="H30" s="10">
        <v>2400</v>
      </c>
      <c r="I30" s="10">
        <f t="shared" si="0"/>
        <v>7300</v>
      </c>
    </row>
    <row r="31" spans="1:9" x14ac:dyDescent="0.3">
      <c r="A31" s="10">
        <v>29</v>
      </c>
      <c r="B31" s="10" t="s">
        <v>296</v>
      </c>
      <c r="C31" s="10" t="s">
        <v>44</v>
      </c>
      <c r="D31" s="10" t="s">
        <v>288</v>
      </c>
      <c r="E31" s="10" t="s">
        <v>94</v>
      </c>
      <c r="F31" s="10" t="s">
        <v>63</v>
      </c>
      <c r="G31" s="10">
        <v>3500</v>
      </c>
      <c r="H31" s="10">
        <v>1000</v>
      </c>
      <c r="I31" s="10">
        <f t="shared" si="0"/>
        <v>4500</v>
      </c>
    </row>
    <row r="32" spans="1:9" x14ac:dyDescent="0.3">
      <c r="A32" s="10">
        <v>30</v>
      </c>
      <c r="B32" s="10" t="s">
        <v>297</v>
      </c>
      <c r="C32" s="10" t="s">
        <v>43</v>
      </c>
      <c r="D32" s="10" t="s">
        <v>44</v>
      </c>
      <c r="E32" s="10" t="s">
        <v>282</v>
      </c>
      <c r="F32" s="10" t="s">
        <v>47</v>
      </c>
      <c r="G32" s="10">
        <v>7500</v>
      </c>
      <c r="H32" s="10">
        <v>3600</v>
      </c>
      <c r="I32" s="10">
        <f t="shared" si="0"/>
        <v>11100</v>
      </c>
    </row>
    <row r="33" spans="1:9" x14ac:dyDescent="0.3">
      <c r="A33" s="10">
        <v>31</v>
      </c>
      <c r="B33" s="10" t="s">
        <v>297</v>
      </c>
      <c r="C33" s="10" t="s">
        <v>71</v>
      </c>
      <c r="D33" s="10" t="s">
        <v>44</v>
      </c>
      <c r="E33" s="10" t="s">
        <v>57</v>
      </c>
      <c r="F33" s="10" t="s">
        <v>47</v>
      </c>
      <c r="G33" s="10">
        <v>7500</v>
      </c>
      <c r="H33" s="10">
        <v>3600</v>
      </c>
      <c r="I33" s="10">
        <f t="shared" si="0"/>
        <v>11100</v>
      </c>
    </row>
    <row r="34" spans="1:9" x14ac:dyDescent="0.3">
      <c r="A34" s="10">
        <v>32</v>
      </c>
      <c r="B34" s="10" t="s">
        <v>297</v>
      </c>
      <c r="C34" s="10" t="s">
        <v>44</v>
      </c>
      <c r="D34" s="10" t="s">
        <v>288</v>
      </c>
      <c r="E34" s="10" t="s">
        <v>94</v>
      </c>
      <c r="F34" s="10" t="s">
        <v>63</v>
      </c>
      <c r="G34" s="10">
        <v>3500</v>
      </c>
      <c r="H34" s="10">
        <v>1000</v>
      </c>
      <c r="I34" s="10">
        <f t="shared" si="0"/>
        <v>4500</v>
      </c>
    </row>
    <row r="35" spans="1:9" x14ac:dyDescent="0.3">
      <c r="A35" s="10">
        <v>33</v>
      </c>
      <c r="B35" s="10" t="s">
        <v>298</v>
      </c>
      <c r="C35" s="10" t="s">
        <v>43</v>
      </c>
      <c r="D35" s="10" t="s">
        <v>44</v>
      </c>
      <c r="E35" s="10" t="s">
        <v>282</v>
      </c>
      <c r="F35" s="10" t="s">
        <v>47</v>
      </c>
      <c r="G35" s="10">
        <v>7500</v>
      </c>
      <c r="H35" s="10">
        <v>3600</v>
      </c>
      <c r="I35" s="10">
        <f t="shared" si="0"/>
        <v>11100</v>
      </c>
    </row>
    <row r="36" spans="1:9" x14ac:dyDescent="0.3">
      <c r="A36" s="10">
        <v>34</v>
      </c>
      <c r="B36" s="10" t="s">
        <v>298</v>
      </c>
      <c r="C36" s="10" t="s">
        <v>71</v>
      </c>
      <c r="D36" s="10" t="s">
        <v>44</v>
      </c>
      <c r="E36" s="10" t="s">
        <v>77</v>
      </c>
      <c r="F36" s="10" t="s">
        <v>47</v>
      </c>
      <c r="G36" s="10">
        <v>7500</v>
      </c>
      <c r="H36" s="10">
        <v>3600</v>
      </c>
      <c r="I36" s="10">
        <f t="shared" si="0"/>
        <v>11100</v>
      </c>
    </row>
    <row r="37" spans="1:9" x14ac:dyDescent="0.3">
      <c r="B37" s="11" t="s">
        <v>447</v>
      </c>
      <c r="C37" s="11" t="s">
        <v>43</v>
      </c>
      <c r="D37" s="10" t="s">
        <v>44</v>
      </c>
      <c r="E37" s="11" t="s">
        <v>57</v>
      </c>
      <c r="F37" s="10" t="s">
        <v>47</v>
      </c>
      <c r="G37" s="10">
        <v>7500</v>
      </c>
      <c r="H37" s="10">
        <v>3600</v>
      </c>
      <c r="I37" s="10">
        <f t="shared" si="0"/>
        <v>11100</v>
      </c>
    </row>
    <row r="38" spans="1:9" x14ac:dyDescent="0.3">
      <c r="B38" s="11" t="s">
        <v>447</v>
      </c>
      <c r="C38" s="11" t="s">
        <v>71</v>
      </c>
      <c r="D38" s="10" t="s">
        <v>44</v>
      </c>
      <c r="E38" s="11" t="s">
        <v>77</v>
      </c>
      <c r="F38" s="10" t="s">
        <v>47</v>
      </c>
      <c r="G38" s="10">
        <v>7500</v>
      </c>
      <c r="H38" s="10">
        <v>3600</v>
      </c>
      <c r="I38" s="10">
        <f t="shared" si="0"/>
        <v>11100</v>
      </c>
    </row>
    <row r="39" spans="1:9" x14ac:dyDescent="0.3">
      <c r="B39" s="11" t="s">
        <v>447</v>
      </c>
      <c r="C39" s="11" t="s">
        <v>86</v>
      </c>
      <c r="D39" s="11" t="s">
        <v>288</v>
      </c>
      <c r="E39" s="11" t="s">
        <v>282</v>
      </c>
      <c r="F39" s="10" t="s">
        <v>47</v>
      </c>
      <c r="G39" s="10">
        <v>8500</v>
      </c>
      <c r="H39" s="10">
        <v>3600</v>
      </c>
      <c r="I39" s="10">
        <f t="shared" si="0"/>
        <v>12100</v>
      </c>
    </row>
    <row r="40" spans="1:9" x14ac:dyDescent="0.3">
      <c r="B40" s="11" t="s">
        <v>447</v>
      </c>
      <c r="C40" s="11" t="s">
        <v>44</v>
      </c>
      <c r="D40" s="11" t="s">
        <v>124</v>
      </c>
      <c r="E40" s="11" t="s">
        <v>125</v>
      </c>
      <c r="F40" s="10" t="s">
        <v>47</v>
      </c>
      <c r="G40" s="10">
        <v>5900</v>
      </c>
      <c r="H40" s="10">
        <v>3600</v>
      </c>
      <c r="I40" s="10">
        <f t="shared" si="0"/>
        <v>9500</v>
      </c>
    </row>
    <row r="41" spans="1:9" x14ac:dyDescent="0.3">
      <c r="B41" s="11" t="s">
        <v>447</v>
      </c>
      <c r="C41" s="11" t="s">
        <v>285</v>
      </c>
      <c r="D41" s="11" t="s">
        <v>288</v>
      </c>
      <c r="E41" s="11" t="s">
        <v>94</v>
      </c>
      <c r="F41" s="11" t="s">
        <v>63</v>
      </c>
      <c r="G41" s="10">
        <v>3500</v>
      </c>
      <c r="H41" s="10">
        <v>600</v>
      </c>
      <c r="I41" s="10">
        <f t="shared" si="0"/>
        <v>4100</v>
      </c>
    </row>
    <row r="42" spans="1:9" x14ac:dyDescent="0.3">
      <c r="B42" s="11" t="s">
        <v>451</v>
      </c>
      <c r="C42" s="11" t="s">
        <v>71</v>
      </c>
      <c r="D42" s="11" t="s">
        <v>44</v>
      </c>
      <c r="E42" s="11" t="s">
        <v>282</v>
      </c>
      <c r="F42" s="10" t="s">
        <v>47</v>
      </c>
      <c r="G42" s="10">
        <v>7500</v>
      </c>
      <c r="H42" s="10">
        <v>3600</v>
      </c>
      <c r="I42" s="10">
        <f t="shared" si="0"/>
        <v>11100</v>
      </c>
    </row>
    <row r="43" spans="1:9" x14ac:dyDescent="0.3">
      <c r="B43" s="11" t="s">
        <v>315</v>
      </c>
      <c r="C43" s="11" t="s">
        <v>43</v>
      </c>
      <c r="D43" s="11" t="s">
        <v>44</v>
      </c>
      <c r="E43" s="11" t="s">
        <v>57</v>
      </c>
      <c r="F43" s="10" t="s">
        <v>47</v>
      </c>
      <c r="G43" s="10">
        <v>7500</v>
      </c>
      <c r="H43" s="10">
        <v>3600</v>
      </c>
      <c r="I43" s="10">
        <f t="shared" ref="I43:I44" si="1">+H43+G43</f>
        <v>11100</v>
      </c>
    </row>
    <row r="44" spans="1:9" x14ac:dyDescent="0.3">
      <c r="B44" s="11" t="s">
        <v>315</v>
      </c>
      <c r="C44" s="11" t="s">
        <v>71</v>
      </c>
      <c r="D44" s="11" t="s">
        <v>44</v>
      </c>
      <c r="E44" s="11" t="s">
        <v>77</v>
      </c>
      <c r="F44" s="10" t="s">
        <v>47</v>
      </c>
      <c r="G44" s="10">
        <v>7500</v>
      </c>
      <c r="H44" s="10">
        <v>3600</v>
      </c>
      <c r="I44" s="10">
        <f t="shared" si="1"/>
        <v>11100</v>
      </c>
    </row>
    <row r="45" spans="1:9" x14ac:dyDescent="0.3">
      <c r="B45" s="11" t="s">
        <v>315</v>
      </c>
      <c r="C45" s="11" t="s">
        <v>71</v>
      </c>
      <c r="D45" s="11" t="s">
        <v>44</v>
      </c>
      <c r="E45" s="11" t="s">
        <v>125</v>
      </c>
      <c r="F45" s="10" t="s">
        <v>47</v>
      </c>
      <c r="G45" s="10">
        <v>7500</v>
      </c>
      <c r="H45" s="10">
        <v>3600</v>
      </c>
      <c r="I45" s="10">
        <f t="shared" ref="I45:I47" si="2">+H45+G45</f>
        <v>11100</v>
      </c>
    </row>
    <row r="46" spans="1:9" x14ac:dyDescent="0.3">
      <c r="B46" s="11" t="s">
        <v>315</v>
      </c>
      <c r="C46" s="11" t="s">
        <v>86</v>
      </c>
      <c r="D46" s="11" t="s">
        <v>288</v>
      </c>
      <c r="E46" s="11" t="s">
        <v>282</v>
      </c>
      <c r="F46" s="10" t="s">
        <v>47</v>
      </c>
      <c r="G46" s="10">
        <v>8500</v>
      </c>
      <c r="H46" s="10">
        <v>3600</v>
      </c>
      <c r="I46" s="10">
        <f t="shared" si="2"/>
        <v>12100</v>
      </c>
    </row>
    <row r="47" spans="1:9" x14ac:dyDescent="0.3">
      <c r="B47" s="11" t="s">
        <v>315</v>
      </c>
      <c r="C47" s="11" t="s">
        <v>44</v>
      </c>
      <c r="D47" s="11" t="s">
        <v>288</v>
      </c>
      <c r="E47" s="11" t="s">
        <v>57</v>
      </c>
      <c r="F47" s="10" t="s">
        <v>47</v>
      </c>
      <c r="G47" s="10">
        <v>6200</v>
      </c>
      <c r="H47" s="10">
        <v>3600</v>
      </c>
      <c r="I47" s="10">
        <f t="shared" si="2"/>
        <v>9800</v>
      </c>
    </row>
    <row r="48" spans="1:9" x14ac:dyDescent="0.3">
      <c r="F48" s="28" t="s">
        <v>41</v>
      </c>
      <c r="G48" s="9">
        <f>SUM(G3:G47)</f>
        <v>306600</v>
      </c>
      <c r="H48" s="9">
        <f t="shared" ref="H48:I48" si="3">SUM(H3:H47)</f>
        <v>144000</v>
      </c>
      <c r="I48" s="9">
        <f t="shared" si="3"/>
        <v>450600</v>
      </c>
    </row>
    <row r="52" spans="1:10" x14ac:dyDescent="0.3">
      <c r="A52" s="8" t="s">
        <v>277</v>
      </c>
    </row>
    <row r="53" spans="1:10" ht="28.8" x14ac:dyDescent="0.3">
      <c r="A53" s="26" t="s">
        <v>25</v>
      </c>
      <c r="B53" s="26" t="s">
        <v>26</v>
      </c>
      <c r="C53" s="26" t="s">
        <v>27</v>
      </c>
      <c r="D53" s="26" t="s">
        <v>28</v>
      </c>
      <c r="E53" s="26" t="s">
        <v>30</v>
      </c>
      <c r="F53" s="27" t="s">
        <v>34</v>
      </c>
      <c r="G53" s="26" t="s">
        <v>35</v>
      </c>
      <c r="H53" s="26" t="s">
        <v>36</v>
      </c>
      <c r="I53" s="27" t="s">
        <v>37</v>
      </c>
    </row>
    <row r="54" spans="1:10" x14ac:dyDescent="0.3">
      <c r="A54" s="10">
        <v>1</v>
      </c>
      <c r="B54" s="10" t="s">
        <v>304</v>
      </c>
      <c r="C54" s="10" t="s">
        <v>43</v>
      </c>
      <c r="D54" s="10" t="s">
        <v>44</v>
      </c>
      <c r="E54" s="10" t="s">
        <v>57</v>
      </c>
      <c r="F54" s="10" t="s">
        <v>47</v>
      </c>
      <c r="G54" s="10">
        <v>7500</v>
      </c>
      <c r="H54" s="10">
        <v>3600</v>
      </c>
      <c r="I54" s="10">
        <f>+H54+G54</f>
        <v>11100</v>
      </c>
    </row>
    <row r="55" spans="1:10" x14ac:dyDescent="0.3">
      <c r="A55" s="10">
        <v>2</v>
      </c>
      <c r="B55" s="10" t="s">
        <v>304</v>
      </c>
      <c r="C55" s="10" t="s">
        <v>71</v>
      </c>
      <c r="D55" s="10" t="s">
        <v>44</v>
      </c>
      <c r="E55" s="10" t="s">
        <v>299</v>
      </c>
      <c r="F55" s="10" t="s">
        <v>47</v>
      </c>
      <c r="G55" s="10">
        <v>7500</v>
      </c>
      <c r="H55" s="10">
        <v>3600</v>
      </c>
      <c r="I55" s="10">
        <f t="shared" ref="I55:I96" si="4">+H55+G55</f>
        <v>11100</v>
      </c>
    </row>
    <row r="56" spans="1:10" x14ac:dyDescent="0.3">
      <c r="A56" s="10">
        <v>3</v>
      </c>
      <c r="B56" s="10" t="s">
        <v>304</v>
      </c>
      <c r="C56" s="10" t="s">
        <v>86</v>
      </c>
      <c r="D56" s="10" t="s">
        <v>71</v>
      </c>
      <c r="E56" s="10" t="s">
        <v>125</v>
      </c>
      <c r="F56" s="10" t="s">
        <v>47</v>
      </c>
      <c r="G56" s="10">
        <v>8500</v>
      </c>
      <c r="H56" s="10">
        <v>3600</v>
      </c>
      <c r="I56" s="10">
        <f t="shared" si="4"/>
        <v>12100</v>
      </c>
    </row>
    <row r="57" spans="1:10" x14ac:dyDescent="0.3">
      <c r="A57" s="10">
        <v>4</v>
      </c>
      <c r="B57" s="10" t="s">
        <v>304</v>
      </c>
      <c r="C57" s="10" t="s">
        <v>86</v>
      </c>
      <c r="D57" s="10" t="s">
        <v>71</v>
      </c>
      <c r="E57" s="10" t="s">
        <v>77</v>
      </c>
      <c r="F57" s="10" t="s">
        <v>47</v>
      </c>
      <c r="G57" s="10">
        <v>8500</v>
      </c>
      <c r="H57" s="10">
        <v>3600</v>
      </c>
      <c r="I57" s="10">
        <f t="shared" si="4"/>
        <v>12100</v>
      </c>
    </row>
    <row r="58" spans="1:10" x14ac:dyDescent="0.3">
      <c r="A58" s="10">
        <v>5</v>
      </c>
      <c r="B58" s="10" t="s">
        <v>304</v>
      </c>
      <c r="C58" s="10" t="s">
        <v>285</v>
      </c>
      <c r="D58" s="10" t="s">
        <v>44</v>
      </c>
      <c r="E58" s="10" t="s">
        <v>282</v>
      </c>
      <c r="F58" s="10" t="s">
        <v>47</v>
      </c>
      <c r="G58" s="10">
        <v>6900</v>
      </c>
      <c r="H58" s="10">
        <v>3600</v>
      </c>
      <c r="I58" s="10">
        <f t="shared" si="4"/>
        <v>10500</v>
      </c>
      <c r="J58" t="s">
        <v>319</v>
      </c>
    </row>
    <row r="59" spans="1:10" x14ac:dyDescent="0.3">
      <c r="A59" s="10">
        <v>6</v>
      </c>
      <c r="B59" s="10" t="s">
        <v>305</v>
      </c>
      <c r="C59" s="10" t="s">
        <v>71</v>
      </c>
      <c r="D59" s="10" t="s">
        <v>44</v>
      </c>
      <c r="E59" s="10" t="s">
        <v>282</v>
      </c>
      <c r="F59" s="10" t="s">
        <v>47</v>
      </c>
      <c r="G59" s="10">
        <v>7500</v>
      </c>
      <c r="H59" s="10">
        <v>3600</v>
      </c>
      <c r="I59" s="10">
        <f t="shared" si="4"/>
        <v>11100</v>
      </c>
    </row>
    <row r="60" spans="1:10" x14ac:dyDescent="0.3">
      <c r="A60" s="10">
        <v>7</v>
      </c>
      <c r="B60" s="10" t="s">
        <v>306</v>
      </c>
      <c r="C60" s="10" t="s">
        <v>43</v>
      </c>
      <c r="D60" s="10" t="s">
        <v>44</v>
      </c>
      <c r="E60" s="10" t="s">
        <v>57</v>
      </c>
      <c r="F60" s="10" t="s">
        <v>47</v>
      </c>
      <c r="G60" s="10">
        <v>7500</v>
      </c>
      <c r="H60" s="10">
        <v>3600</v>
      </c>
      <c r="I60" s="10">
        <f t="shared" si="4"/>
        <v>11100</v>
      </c>
    </row>
    <row r="61" spans="1:10" x14ac:dyDescent="0.3">
      <c r="A61" s="10">
        <v>8</v>
      </c>
      <c r="B61" s="10" t="s">
        <v>306</v>
      </c>
      <c r="C61" s="10" t="s">
        <v>71</v>
      </c>
      <c r="D61" s="10" t="s">
        <v>44</v>
      </c>
      <c r="E61" s="10" t="s">
        <v>125</v>
      </c>
      <c r="F61" s="10" t="s">
        <v>47</v>
      </c>
      <c r="G61" s="10">
        <v>7500</v>
      </c>
      <c r="H61" s="10">
        <v>3600</v>
      </c>
      <c r="I61" s="10">
        <f t="shared" si="4"/>
        <v>11100</v>
      </c>
    </row>
    <row r="62" spans="1:10" x14ac:dyDescent="0.3">
      <c r="A62" s="10">
        <v>9</v>
      </c>
      <c r="B62" s="10" t="s">
        <v>306</v>
      </c>
      <c r="C62" s="10" t="s">
        <v>86</v>
      </c>
      <c r="D62" s="10" t="s">
        <v>71</v>
      </c>
      <c r="E62" s="10" t="s">
        <v>233</v>
      </c>
      <c r="F62" s="10" t="s">
        <v>47</v>
      </c>
      <c r="G62" s="10">
        <v>8500</v>
      </c>
      <c r="H62" s="10">
        <v>3600</v>
      </c>
      <c r="I62" s="10">
        <f t="shared" si="4"/>
        <v>12100</v>
      </c>
    </row>
    <row r="63" spans="1:10" x14ac:dyDescent="0.3">
      <c r="A63" s="10">
        <v>10</v>
      </c>
      <c r="B63" s="10" t="s">
        <v>306</v>
      </c>
      <c r="C63" s="10" t="s">
        <v>86</v>
      </c>
      <c r="D63" s="10" t="s">
        <v>288</v>
      </c>
      <c r="E63" s="10" t="s">
        <v>299</v>
      </c>
      <c r="F63" s="10" t="s">
        <v>47</v>
      </c>
      <c r="G63" s="10">
        <v>8500</v>
      </c>
      <c r="H63" s="10">
        <v>3600</v>
      </c>
      <c r="I63" s="10">
        <f t="shared" si="4"/>
        <v>12100</v>
      </c>
    </row>
    <row r="64" spans="1:10" x14ac:dyDescent="0.3">
      <c r="A64" s="10">
        <v>11</v>
      </c>
      <c r="B64" s="10" t="s">
        <v>306</v>
      </c>
      <c r="C64" s="10" t="s">
        <v>86</v>
      </c>
      <c r="D64" s="10" t="s">
        <v>288</v>
      </c>
      <c r="E64" s="10" t="s">
        <v>291</v>
      </c>
      <c r="F64" s="10" t="s">
        <v>47</v>
      </c>
      <c r="G64" s="10">
        <v>8500</v>
      </c>
      <c r="H64" s="10">
        <v>3600</v>
      </c>
      <c r="I64" s="10">
        <f t="shared" si="4"/>
        <v>12100</v>
      </c>
    </row>
    <row r="65" spans="1:9" x14ac:dyDescent="0.3">
      <c r="A65" s="10">
        <v>12</v>
      </c>
      <c r="B65" s="10" t="s">
        <v>306</v>
      </c>
      <c r="C65" s="10" t="s">
        <v>86</v>
      </c>
      <c r="D65" s="10" t="s">
        <v>288</v>
      </c>
      <c r="E65" s="10" t="s">
        <v>282</v>
      </c>
      <c r="F65" s="10" t="s">
        <v>47</v>
      </c>
      <c r="G65" s="10">
        <v>8500</v>
      </c>
      <c r="H65" s="10">
        <v>3600</v>
      </c>
      <c r="I65" s="10">
        <f t="shared" si="4"/>
        <v>12100</v>
      </c>
    </row>
    <row r="66" spans="1:9" x14ac:dyDescent="0.3">
      <c r="A66" s="10">
        <v>13</v>
      </c>
      <c r="B66" s="10" t="s">
        <v>266</v>
      </c>
      <c r="C66" s="10" t="s">
        <v>43</v>
      </c>
      <c r="D66" s="10" t="s">
        <v>44</v>
      </c>
      <c r="E66" s="10" t="s">
        <v>282</v>
      </c>
      <c r="F66" s="10" t="s">
        <v>47</v>
      </c>
      <c r="G66" s="10">
        <v>7500</v>
      </c>
      <c r="H66" s="10">
        <v>3600</v>
      </c>
      <c r="I66" s="10">
        <f t="shared" si="4"/>
        <v>11100</v>
      </c>
    </row>
    <row r="67" spans="1:9" x14ac:dyDescent="0.3">
      <c r="A67" s="10">
        <v>14</v>
      </c>
      <c r="B67" s="10" t="s">
        <v>266</v>
      </c>
      <c r="C67" s="10" t="s">
        <v>71</v>
      </c>
      <c r="D67" s="10" t="s">
        <v>44</v>
      </c>
      <c r="E67" s="10" t="s">
        <v>299</v>
      </c>
      <c r="F67" s="10" t="s">
        <v>47</v>
      </c>
      <c r="G67" s="10">
        <v>7500</v>
      </c>
      <c r="H67" s="10">
        <v>3600</v>
      </c>
      <c r="I67" s="10">
        <f t="shared" si="4"/>
        <v>11100</v>
      </c>
    </row>
    <row r="68" spans="1:9" x14ac:dyDescent="0.3">
      <c r="A68" s="10">
        <v>15</v>
      </c>
      <c r="B68" s="10" t="s">
        <v>266</v>
      </c>
      <c r="C68" s="10" t="s">
        <v>86</v>
      </c>
      <c r="D68" s="10" t="s">
        <v>71</v>
      </c>
      <c r="E68" s="10" t="s">
        <v>77</v>
      </c>
      <c r="F68" s="10" t="s">
        <v>47</v>
      </c>
      <c r="G68" s="10">
        <v>8500</v>
      </c>
      <c r="H68" s="10">
        <v>3600</v>
      </c>
      <c r="I68" s="10">
        <f t="shared" si="4"/>
        <v>12100</v>
      </c>
    </row>
    <row r="69" spans="1:9" x14ac:dyDescent="0.3">
      <c r="A69" s="10">
        <v>16</v>
      </c>
      <c r="B69" s="10" t="s">
        <v>266</v>
      </c>
      <c r="C69" s="10" t="s">
        <v>44</v>
      </c>
      <c r="D69" s="10" t="s">
        <v>124</v>
      </c>
      <c r="E69" s="10" t="s">
        <v>60</v>
      </c>
      <c r="F69" s="10" t="s">
        <v>63</v>
      </c>
      <c r="G69" s="10">
        <v>3500</v>
      </c>
      <c r="H69" s="10">
        <v>1000</v>
      </c>
      <c r="I69" s="10">
        <f t="shared" si="4"/>
        <v>4500</v>
      </c>
    </row>
    <row r="70" spans="1:9" x14ac:dyDescent="0.3">
      <c r="A70" s="10">
        <v>17</v>
      </c>
      <c r="B70" s="10" t="s">
        <v>307</v>
      </c>
      <c r="C70" s="10" t="s">
        <v>86</v>
      </c>
      <c r="D70" s="10" t="s">
        <v>71</v>
      </c>
      <c r="E70" s="10" t="s">
        <v>77</v>
      </c>
      <c r="F70" s="10" t="s">
        <v>47</v>
      </c>
      <c r="G70" s="10">
        <v>8500</v>
      </c>
      <c r="H70" s="10">
        <v>3600</v>
      </c>
      <c r="I70" s="10">
        <f t="shared" si="4"/>
        <v>12100</v>
      </c>
    </row>
    <row r="71" spans="1:9" x14ac:dyDescent="0.3">
      <c r="A71" s="10">
        <v>18</v>
      </c>
      <c r="B71" s="10" t="s">
        <v>308</v>
      </c>
      <c r="C71" s="10" t="s">
        <v>43</v>
      </c>
      <c r="D71" s="10" t="s">
        <v>44</v>
      </c>
      <c r="E71" s="10" t="s">
        <v>77</v>
      </c>
      <c r="F71" s="10" t="s">
        <v>47</v>
      </c>
      <c r="G71" s="10">
        <v>7500</v>
      </c>
      <c r="H71" s="10">
        <v>3600</v>
      </c>
      <c r="I71" s="10">
        <f t="shared" si="4"/>
        <v>11100</v>
      </c>
    </row>
    <row r="72" spans="1:9" x14ac:dyDescent="0.3">
      <c r="A72" s="10">
        <v>19</v>
      </c>
      <c r="B72" s="10" t="s">
        <v>308</v>
      </c>
      <c r="C72" s="10" t="s">
        <v>43</v>
      </c>
      <c r="D72" s="10" t="s">
        <v>44</v>
      </c>
      <c r="E72" s="10" t="s">
        <v>57</v>
      </c>
      <c r="F72" s="10" t="s">
        <v>47</v>
      </c>
      <c r="G72" s="10">
        <v>7500</v>
      </c>
      <c r="H72" s="10">
        <v>3600</v>
      </c>
      <c r="I72" s="10">
        <f t="shared" si="4"/>
        <v>11100</v>
      </c>
    </row>
    <row r="73" spans="1:9" x14ac:dyDescent="0.3">
      <c r="A73" s="10">
        <v>20</v>
      </c>
      <c r="B73" s="10" t="s">
        <v>308</v>
      </c>
      <c r="C73" s="10" t="s">
        <v>43</v>
      </c>
      <c r="D73" s="10" t="s">
        <v>44</v>
      </c>
      <c r="E73" s="10" t="s">
        <v>125</v>
      </c>
      <c r="F73" s="10" t="s">
        <v>47</v>
      </c>
      <c r="G73" s="10">
        <v>7500</v>
      </c>
      <c r="H73" s="10">
        <v>3600</v>
      </c>
      <c r="I73" s="10">
        <f t="shared" si="4"/>
        <v>11100</v>
      </c>
    </row>
    <row r="74" spans="1:9" x14ac:dyDescent="0.3">
      <c r="A74" s="10">
        <v>21</v>
      </c>
      <c r="B74" s="10" t="s">
        <v>308</v>
      </c>
      <c r="C74" s="10" t="s">
        <v>71</v>
      </c>
      <c r="D74" s="10" t="s">
        <v>44</v>
      </c>
      <c r="E74" s="10" t="s">
        <v>92</v>
      </c>
      <c r="F74" s="10" t="s">
        <v>47</v>
      </c>
      <c r="G74" s="10">
        <v>7500</v>
      </c>
      <c r="H74" s="10">
        <v>3600</v>
      </c>
      <c r="I74" s="10">
        <f t="shared" si="4"/>
        <v>11100</v>
      </c>
    </row>
    <row r="75" spans="1:9" x14ac:dyDescent="0.3">
      <c r="A75" s="10">
        <v>22</v>
      </c>
      <c r="B75" s="10" t="s">
        <v>308</v>
      </c>
      <c r="C75" s="10" t="s">
        <v>71</v>
      </c>
      <c r="D75" s="10" t="s">
        <v>44</v>
      </c>
      <c r="E75" s="10" t="s">
        <v>77</v>
      </c>
      <c r="F75" s="10" t="s">
        <v>47</v>
      </c>
      <c r="G75" s="10">
        <v>7500</v>
      </c>
      <c r="H75" s="10">
        <v>3600</v>
      </c>
      <c r="I75" s="10">
        <f t="shared" si="4"/>
        <v>11100</v>
      </c>
    </row>
    <row r="76" spans="1:9" x14ac:dyDescent="0.3">
      <c r="A76" s="10">
        <v>23</v>
      </c>
      <c r="B76" s="10" t="s">
        <v>309</v>
      </c>
      <c r="C76" s="10" t="s">
        <v>43</v>
      </c>
      <c r="D76" s="10" t="s">
        <v>44</v>
      </c>
      <c r="E76" s="10" t="s">
        <v>77</v>
      </c>
      <c r="F76" s="10" t="s">
        <v>47</v>
      </c>
      <c r="G76" s="10">
        <v>7500</v>
      </c>
      <c r="H76" s="10">
        <v>3600</v>
      </c>
      <c r="I76" s="10">
        <f t="shared" si="4"/>
        <v>11100</v>
      </c>
    </row>
    <row r="77" spans="1:9" x14ac:dyDescent="0.3">
      <c r="A77" s="10">
        <v>24</v>
      </c>
      <c r="B77" s="10" t="s">
        <v>309</v>
      </c>
      <c r="C77" s="10" t="s">
        <v>71</v>
      </c>
      <c r="D77" s="10" t="s">
        <v>44</v>
      </c>
      <c r="E77" s="10" t="s">
        <v>282</v>
      </c>
      <c r="F77" s="10" t="s">
        <v>47</v>
      </c>
      <c r="G77" s="10">
        <v>7500</v>
      </c>
      <c r="H77" s="10">
        <v>3600</v>
      </c>
      <c r="I77" s="10">
        <f t="shared" si="4"/>
        <v>11100</v>
      </c>
    </row>
    <row r="78" spans="1:9" x14ac:dyDescent="0.3">
      <c r="A78" s="10">
        <v>25</v>
      </c>
      <c r="B78" s="10" t="s">
        <v>310</v>
      </c>
      <c r="C78" s="10" t="s">
        <v>44</v>
      </c>
      <c r="D78" s="10" t="s">
        <v>124</v>
      </c>
      <c r="E78" s="10" t="s">
        <v>77</v>
      </c>
      <c r="F78" s="10" t="s">
        <v>47</v>
      </c>
      <c r="G78" s="10">
        <v>5900</v>
      </c>
      <c r="H78" s="10">
        <v>3600</v>
      </c>
      <c r="I78" s="10">
        <f t="shared" si="4"/>
        <v>9500</v>
      </c>
    </row>
    <row r="79" spans="1:9" x14ac:dyDescent="0.3">
      <c r="A79" s="10">
        <v>26</v>
      </c>
      <c r="B79" s="10" t="s">
        <v>310</v>
      </c>
      <c r="C79" s="10" t="s">
        <v>44</v>
      </c>
      <c r="D79" s="10" t="s">
        <v>124</v>
      </c>
      <c r="E79" s="10" t="s">
        <v>92</v>
      </c>
      <c r="F79" s="10" t="s">
        <v>47</v>
      </c>
      <c r="G79" s="10">
        <v>5900</v>
      </c>
      <c r="H79" s="10">
        <v>3600</v>
      </c>
      <c r="I79" s="10">
        <f t="shared" si="4"/>
        <v>9500</v>
      </c>
    </row>
    <row r="80" spans="1:9" x14ac:dyDescent="0.3">
      <c r="A80" s="10">
        <v>27</v>
      </c>
      <c r="B80" s="10" t="s">
        <v>310</v>
      </c>
      <c r="C80" s="10" t="s">
        <v>71</v>
      </c>
      <c r="D80" s="10" t="s">
        <v>44</v>
      </c>
      <c r="E80" s="10" t="s">
        <v>282</v>
      </c>
      <c r="F80" s="10" t="s">
        <v>47</v>
      </c>
      <c r="G80" s="10">
        <v>7500</v>
      </c>
      <c r="H80" s="10">
        <v>3600</v>
      </c>
      <c r="I80" s="10">
        <f t="shared" si="4"/>
        <v>11100</v>
      </c>
    </row>
    <row r="81" spans="1:9" x14ac:dyDescent="0.3">
      <c r="A81" s="10">
        <v>28</v>
      </c>
      <c r="B81" s="10" t="s">
        <v>310</v>
      </c>
      <c r="C81" s="10" t="s">
        <v>71</v>
      </c>
      <c r="D81" s="10" t="s">
        <v>44</v>
      </c>
      <c r="E81" s="10" t="s">
        <v>233</v>
      </c>
      <c r="F81" s="10" t="s">
        <v>47</v>
      </c>
      <c r="G81" s="10">
        <v>7500</v>
      </c>
      <c r="H81" s="10">
        <v>3600</v>
      </c>
      <c r="I81" s="10">
        <f t="shared" si="4"/>
        <v>11100</v>
      </c>
    </row>
    <row r="82" spans="1:9" x14ac:dyDescent="0.3">
      <c r="A82" s="10">
        <v>29</v>
      </c>
      <c r="B82" s="10" t="s">
        <v>300</v>
      </c>
      <c r="C82" s="10" t="s">
        <v>43</v>
      </c>
      <c r="D82" s="10" t="s">
        <v>44</v>
      </c>
      <c r="E82" s="10" t="s">
        <v>233</v>
      </c>
      <c r="F82" s="10" t="s">
        <v>47</v>
      </c>
      <c r="G82" s="10">
        <v>7500</v>
      </c>
      <c r="H82" s="10">
        <v>3600</v>
      </c>
      <c r="I82" s="10">
        <f t="shared" si="4"/>
        <v>11100</v>
      </c>
    </row>
    <row r="83" spans="1:9" x14ac:dyDescent="0.3">
      <c r="A83" s="10">
        <v>30</v>
      </c>
      <c r="B83" s="10" t="s">
        <v>300</v>
      </c>
      <c r="C83" s="10" t="s">
        <v>71</v>
      </c>
      <c r="D83" s="10" t="s">
        <v>44</v>
      </c>
      <c r="E83" s="10" t="s">
        <v>57</v>
      </c>
      <c r="F83" s="10" t="s">
        <v>47</v>
      </c>
      <c r="G83" s="10">
        <v>7500</v>
      </c>
      <c r="H83" s="10">
        <v>3600</v>
      </c>
      <c r="I83" s="10">
        <f t="shared" si="4"/>
        <v>11100</v>
      </c>
    </row>
    <row r="84" spans="1:9" x14ac:dyDescent="0.3">
      <c r="A84" s="10">
        <v>31</v>
      </c>
      <c r="B84" s="10" t="s">
        <v>300</v>
      </c>
      <c r="C84" s="10" t="s">
        <v>44</v>
      </c>
      <c r="D84" s="10" t="s">
        <v>124</v>
      </c>
      <c r="E84" s="10" t="s">
        <v>282</v>
      </c>
      <c r="F84" s="10" t="s">
        <v>47</v>
      </c>
      <c r="G84" s="10">
        <v>5900</v>
      </c>
      <c r="H84" s="10">
        <v>3600</v>
      </c>
      <c r="I84" s="10">
        <f t="shared" si="4"/>
        <v>9500</v>
      </c>
    </row>
    <row r="85" spans="1:9" x14ac:dyDescent="0.3">
      <c r="A85" s="10">
        <v>32</v>
      </c>
      <c r="B85" s="10" t="s">
        <v>301</v>
      </c>
      <c r="C85" s="10" t="s">
        <v>43</v>
      </c>
      <c r="D85" s="10" t="s">
        <v>44</v>
      </c>
      <c r="E85" s="10" t="s">
        <v>57</v>
      </c>
      <c r="F85" s="10" t="s">
        <v>47</v>
      </c>
      <c r="G85" s="10">
        <v>7500</v>
      </c>
      <c r="H85" s="10">
        <v>3600</v>
      </c>
      <c r="I85" s="10">
        <f t="shared" si="4"/>
        <v>11100</v>
      </c>
    </row>
    <row r="86" spans="1:9" x14ac:dyDescent="0.3">
      <c r="A86" s="10">
        <v>33</v>
      </c>
      <c r="B86" s="10" t="s">
        <v>301</v>
      </c>
      <c r="C86" s="10" t="s">
        <v>71</v>
      </c>
      <c r="D86" s="10" t="s">
        <v>44</v>
      </c>
      <c r="E86" s="10" t="s">
        <v>77</v>
      </c>
      <c r="F86" s="10" t="s">
        <v>47</v>
      </c>
      <c r="G86" s="10">
        <v>7500</v>
      </c>
      <c r="H86" s="10">
        <v>3600</v>
      </c>
      <c r="I86" s="10">
        <f t="shared" si="4"/>
        <v>11100</v>
      </c>
    </row>
    <row r="87" spans="1:9" x14ac:dyDescent="0.3">
      <c r="A87" s="10">
        <v>34</v>
      </c>
      <c r="B87" s="10" t="s">
        <v>301</v>
      </c>
      <c r="C87" s="10" t="s">
        <v>44</v>
      </c>
      <c r="D87" s="10" t="s">
        <v>124</v>
      </c>
      <c r="E87" s="10" t="s">
        <v>233</v>
      </c>
      <c r="F87" s="10" t="s">
        <v>47</v>
      </c>
      <c r="G87" s="10">
        <v>5900</v>
      </c>
      <c r="H87" s="10">
        <v>3600</v>
      </c>
      <c r="I87" s="10">
        <f t="shared" si="4"/>
        <v>9500</v>
      </c>
    </row>
    <row r="88" spans="1:9" x14ac:dyDescent="0.3">
      <c r="A88" s="10">
        <v>35</v>
      </c>
      <c r="B88" s="10" t="s">
        <v>301</v>
      </c>
      <c r="C88" s="10" t="s">
        <v>44</v>
      </c>
      <c r="D88" s="10" t="s">
        <v>302</v>
      </c>
      <c r="E88" s="10" t="s">
        <v>282</v>
      </c>
      <c r="F88" s="10" t="s">
        <v>47</v>
      </c>
      <c r="G88" s="10">
        <v>9000</v>
      </c>
      <c r="H88" s="10">
        <v>3600</v>
      </c>
      <c r="I88" s="10">
        <f t="shared" si="4"/>
        <v>12600</v>
      </c>
    </row>
    <row r="89" spans="1:9" x14ac:dyDescent="0.3">
      <c r="A89" s="10">
        <v>36</v>
      </c>
      <c r="B89" s="10" t="s">
        <v>301</v>
      </c>
      <c r="C89" s="10" t="s">
        <v>44</v>
      </c>
      <c r="D89" s="10" t="s">
        <v>302</v>
      </c>
      <c r="E89" s="10" t="s">
        <v>60</v>
      </c>
      <c r="F89" s="10" t="s">
        <v>55</v>
      </c>
      <c r="G89" s="10">
        <v>8000</v>
      </c>
      <c r="H89" s="10">
        <v>1200</v>
      </c>
      <c r="I89" s="10">
        <f t="shared" si="4"/>
        <v>9200</v>
      </c>
    </row>
    <row r="90" spans="1:9" x14ac:dyDescent="0.3">
      <c r="A90" s="10">
        <v>37</v>
      </c>
      <c r="B90" s="10" t="s">
        <v>301</v>
      </c>
      <c r="C90" s="10" t="s">
        <v>44</v>
      </c>
      <c r="D90" s="10" t="s">
        <v>71</v>
      </c>
      <c r="E90" s="10" t="s">
        <v>77</v>
      </c>
      <c r="F90" s="10" t="s">
        <v>55</v>
      </c>
      <c r="G90" s="10">
        <v>4800</v>
      </c>
      <c r="H90" s="10">
        <v>2400</v>
      </c>
      <c r="I90" s="10">
        <f t="shared" si="4"/>
        <v>7200</v>
      </c>
    </row>
    <row r="91" spans="1:9" x14ac:dyDescent="0.3">
      <c r="A91" s="10">
        <v>38</v>
      </c>
      <c r="B91" s="10" t="s">
        <v>303</v>
      </c>
      <c r="C91" s="10" t="s">
        <v>43</v>
      </c>
      <c r="D91" s="10" t="s">
        <v>44</v>
      </c>
      <c r="E91" s="10" t="s">
        <v>282</v>
      </c>
      <c r="F91" s="10" t="s">
        <v>47</v>
      </c>
      <c r="G91" s="10">
        <v>7500</v>
      </c>
      <c r="H91" s="10">
        <v>3600</v>
      </c>
      <c r="I91" s="10">
        <f t="shared" si="4"/>
        <v>11100</v>
      </c>
    </row>
    <row r="92" spans="1:9" x14ac:dyDescent="0.3">
      <c r="A92" s="10">
        <v>39</v>
      </c>
      <c r="B92" s="10" t="s">
        <v>303</v>
      </c>
      <c r="C92" s="10" t="s">
        <v>71</v>
      </c>
      <c r="D92" s="10" t="s">
        <v>44</v>
      </c>
      <c r="E92" s="10" t="s">
        <v>77</v>
      </c>
      <c r="F92" s="10" t="s">
        <v>47</v>
      </c>
      <c r="G92" s="10">
        <v>7500</v>
      </c>
      <c r="H92" s="10">
        <v>3600</v>
      </c>
      <c r="I92" s="10">
        <f t="shared" si="4"/>
        <v>11100</v>
      </c>
    </row>
    <row r="93" spans="1:9" x14ac:dyDescent="0.3">
      <c r="A93" s="10">
        <v>40</v>
      </c>
      <c r="B93" s="10" t="s">
        <v>303</v>
      </c>
      <c r="C93" s="10" t="s">
        <v>71</v>
      </c>
      <c r="D93" s="10" t="s">
        <v>44</v>
      </c>
      <c r="E93" s="10" t="s">
        <v>57</v>
      </c>
      <c r="F93" s="10" t="s">
        <v>47</v>
      </c>
      <c r="G93" s="10">
        <v>7500</v>
      </c>
      <c r="H93" s="10">
        <v>3600</v>
      </c>
      <c r="I93" s="10">
        <f t="shared" si="4"/>
        <v>11100</v>
      </c>
    </row>
    <row r="94" spans="1:9" x14ac:dyDescent="0.3">
      <c r="A94" s="10">
        <v>41</v>
      </c>
      <c r="B94" s="10" t="s">
        <v>303</v>
      </c>
      <c r="C94" s="10" t="s">
        <v>44</v>
      </c>
      <c r="D94" s="10" t="s">
        <v>124</v>
      </c>
      <c r="E94" s="10" t="s">
        <v>60</v>
      </c>
      <c r="F94" s="10" t="s">
        <v>55</v>
      </c>
      <c r="G94" s="10">
        <v>4900</v>
      </c>
      <c r="H94" s="10">
        <v>1200</v>
      </c>
      <c r="I94" s="10">
        <f t="shared" si="4"/>
        <v>6100</v>
      </c>
    </row>
    <row r="95" spans="1:9" x14ac:dyDescent="0.3">
      <c r="A95" s="10">
        <v>42</v>
      </c>
      <c r="B95" s="10" t="s">
        <v>311</v>
      </c>
      <c r="C95" s="10" t="s">
        <v>44</v>
      </c>
      <c r="D95" s="10" t="s">
        <v>124</v>
      </c>
      <c r="E95" s="10" t="s">
        <v>282</v>
      </c>
      <c r="F95" s="10" t="s">
        <v>47</v>
      </c>
      <c r="G95" s="10">
        <v>5900</v>
      </c>
      <c r="H95" s="10">
        <v>3600</v>
      </c>
      <c r="I95" s="10">
        <f t="shared" si="4"/>
        <v>9500</v>
      </c>
    </row>
    <row r="96" spans="1:9" x14ac:dyDescent="0.3">
      <c r="A96" s="10">
        <v>43</v>
      </c>
      <c r="B96" s="10" t="s">
        <v>311</v>
      </c>
      <c r="C96" s="10" t="s">
        <v>44</v>
      </c>
      <c r="D96" s="10" t="s">
        <v>124</v>
      </c>
      <c r="E96" s="10" t="s">
        <v>77</v>
      </c>
      <c r="F96" s="10" t="s">
        <v>47</v>
      </c>
      <c r="G96" s="10">
        <v>5900</v>
      </c>
      <c r="H96" s="10">
        <v>3600</v>
      </c>
      <c r="I96" s="10">
        <f t="shared" si="4"/>
        <v>9500</v>
      </c>
    </row>
    <row r="97" spans="6:9" x14ac:dyDescent="0.3">
      <c r="F97" s="28" t="s">
        <v>41</v>
      </c>
      <c r="G97" s="9">
        <f>SUM(G54:G96)</f>
        <v>313000</v>
      </c>
      <c r="H97" s="9">
        <f>SUM(H54:H96)</f>
        <v>146200</v>
      </c>
      <c r="I97" s="9">
        <f>SUM(I54:I96)</f>
        <v>459200</v>
      </c>
    </row>
    <row r="99" spans="6:9" x14ac:dyDescent="0.3">
      <c r="G99" s="8">
        <f>+G97+G48</f>
        <v>619600</v>
      </c>
      <c r="H99" s="8">
        <f t="shared" ref="H99:I99" si="5">+H97+H48</f>
        <v>290200</v>
      </c>
      <c r="I99" s="8">
        <f t="shared" si="5"/>
        <v>909800</v>
      </c>
    </row>
    <row r="101" spans="6:9" x14ac:dyDescent="0.3">
      <c r="G101" s="8">
        <f>'April''25'!K55+'May''25'!K80+'June''25'!K78+'July''25'!G89+'Aug''25'!G103+'Sept''25'!G99</f>
        <v>3708600</v>
      </c>
      <c r="H101" s="8">
        <f>'April''25'!L55+'May''25'!L80+'June''25'!L78+'July''25'!H89+'Aug''25'!H103+'Sept''25'!H99</f>
        <v>1721600</v>
      </c>
      <c r="I101" s="8">
        <f>'April''25'!M55+'May''25'!M80+'June''25'!M78+'July''25'!I89+'Aug''25'!I103+'Sept''25'!I99</f>
        <v>5430200</v>
      </c>
    </row>
  </sheetData>
  <autoFilter ref="A2:I48" xr:uid="{04AF77B2-480B-450F-B17C-E028B928FD9A}"/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2777-F320-47DE-AEE8-2D95E90AB1D9}">
  <sheetPr>
    <pageSetUpPr fitToPage="1"/>
  </sheetPr>
  <dimension ref="A1:J80"/>
  <sheetViews>
    <sheetView showGridLines="0" topLeftCell="A59" zoomScale="102" zoomScaleNormal="160" workbookViewId="0">
      <selection activeCell="H75" sqref="H75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9" x14ac:dyDescent="0.3">
      <c r="A1" s="8" t="s">
        <v>321</v>
      </c>
    </row>
    <row r="2" spans="1:9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322</v>
      </c>
      <c r="C3" s="10" t="s">
        <v>71</v>
      </c>
      <c r="D3" s="10" t="s">
        <v>44</v>
      </c>
      <c r="E3" s="10" t="s">
        <v>57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9" x14ac:dyDescent="0.3">
      <c r="A4" s="10">
        <v>2</v>
      </c>
      <c r="B4" s="10" t="s">
        <v>322</v>
      </c>
      <c r="C4" s="10" t="s">
        <v>44</v>
      </c>
      <c r="D4" s="10" t="s">
        <v>124</v>
      </c>
      <c r="E4" s="10" t="s">
        <v>60</v>
      </c>
      <c r="F4" s="10" t="s">
        <v>63</v>
      </c>
      <c r="G4" s="10">
        <v>2800</v>
      </c>
      <c r="H4" s="10">
        <v>600</v>
      </c>
      <c r="I4" s="10">
        <f t="shared" ref="I4:I33" si="0">+H4+G4</f>
        <v>3400</v>
      </c>
    </row>
    <row r="5" spans="1:9" x14ac:dyDescent="0.3">
      <c r="A5" s="10">
        <v>3</v>
      </c>
      <c r="B5" s="10" t="s">
        <v>323</v>
      </c>
      <c r="C5" s="10" t="s">
        <v>44</v>
      </c>
      <c r="D5" s="10" t="s">
        <v>124</v>
      </c>
      <c r="E5" s="10" t="s">
        <v>94</v>
      </c>
      <c r="F5" s="10" t="s">
        <v>63</v>
      </c>
      <c r="G5" s="10">
        <v>2800</v>
      </c>
      <c r="H5" s="10">
        <v>600</v>
      </c>
      <c r="I5" s="10">
        <f t="shared" si="0"/>
        <v>3400</v>
      </c>
    </row>
    <row r="6" spans="1:9" x14ac:dyDescent="0.3">
      <c r="A6" s="10">
        <v>4</v>
      </c>
      <c r="B6" s="10" t="s">
        <v>324</v>
      </c>
      <c r="C6" s="10" t="s">
        <v>43</v>
      </c>
      <c r="D6" s="10" t="s">
        <v>44</v>
      </c>
      <c r="E6" s="10" t="s">
        <v>282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9" x14ac:dyDescent="0.3">
      <c r="A7" s="10">
        <v>5</v>
      </c>
      <c r="B7" s="10" t="s">
        <v>324</v>
      </c>
      <c r="C7" s="10" t="s">
        <v>71</v>
      </c>
      <c r="D7" s="10" t="s">
        <v>44</v>
      </c>
      <c r="E7" s="10" t="s">
        <v>77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9" x14ac:dyDescent="0.3">
      <c r="A8" s="10">
        <v>6</v>
      </c>
      <c r="B8" s="10" t="s">
        <v>324</v>
      </c>
      <c r="C8" s="10" t="s">
        <v>71</v>
      </c>
      <c r="D8" s="10" t="s">
        <v>44</v>
      </c>
      <c r="E8" s="10" t="s">
        <v>92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9" x14ac:dyDescent="0.3">
      <c r="A9" s="10">
        <v>7</v>
      </c>
      <c r="B9" s="10" t="s">
        <v>325</v>
      </c>
      <c r="C9" s="10" t="s">
        <v>44</v>
      </c>
      <c r="D9" s="10" t="s">
        <v>124</v>
      </c>
      <c r="E9" s="10" t="s">
        <v>282</v>
      </c>
      <c r="F9" s="10" t="s">
        <v>47</v>
      </c>
      <c r="G9" s="10">
        <v>5900</v>
      </c>
      <c r="H9" s="10">
        <v>3600</v>
      </c>
      <c r="I9" s="10">
        <f t="shared" si="0"/>
        <v>9500</v>
      </c>
    </row>
    <row r="10" spans="1:9" x14ac:dyDescent="0.3">
      <c r="A10" s="10">
        <v>8</v>
      </c>
      <c r="B10" s="10" t="s">
        <v>326</v>
      </c>
      <c r="C10" s="10" t="s">
        <v>43</v>
      </c>
      <c r="D10" s="10" t="s">
        <v>44</v>
      </c>
      <c r="E10" s="10" t="s">
        <v>282</v>
      </c>
      <c r="F10" s="10" t="s">
        <v>47</v>
      </c>
      <c r="G10" s="10">
        <v>7500</v>
      </c>
      <c r="H10" s="10">
        <v>3600</v>
      </c>
      <c r="I10" s="10">
        <f t="shared" si="0"/>
        <v>11100</v>
      </c>
    </row>
    <row r="11" spans="1:9" x14ac:dyDescent="0.3">
      <c r="A11" s="10">
        <v>9</v>
      </c>
      <c r="B11" s="10" t="s">
        <v>326</v>
      </c>
      <c r="C11" s="10" t="s">
        <v>71</v>
      </c>
      <c r="D11" s="10" t="s">
        <v>44</v>
      </c>
      <c r="E11" s="10" t="s">
        <v>328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9" x14ac:dyDescent="0.3">
      <c r="A12" s="10">
        <v>10</v>
      </c>
      <c r="B12" s="10" t="s">
        <v>326</v>
      </c>
      <c r="C12" s="10" t="s">
        <v>71</v>
      </c>
      <c r="D12" s="10" t="s">
        <v>44</v>
      </c>
      <c r="E12" s="10" t="s">
        <v>57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9" x14ac:dyDescent="0.3">
      <c r="A13" s="10">
        <v>11</v>
      </c>
      <c r="B13" s="10" t="s">
        <v>326</v>
      </c>
      <c r="C13" s="10" t="s">
        <v>44</v>
      </c>
      <c r="D13" s="10" t="s">
        <v>124</v>
      </c>
      <c r="E13" s="10" t="s">
        <v>282</v>
      </c>
      <c r="F13" s="10" t="s">
        <v>47</v>
      </c>
      <c r="G13" s="10">
        <v>5900</v>
      </c>
      <c r="H13" s="10">
        <v>3600</v>
      </c>
      <c r="I13" s="10">
        <f t="shared" si="0"/>
        <v>9500</v>
      </c>
    </row>
    <row r="14" spans="1:9" x14ac:dyDescent="0.3">
      <c r="A14" s="10">
        <v>12</v>
      </c>
      <c r="B14" s="10" t="s">
        <v>326</v>
      </c>
      <c r="C14" s="10" t="s">
        <v>44</v>
      </c>
      <c r="D14" s="10" t="s">
        <v>124</v>
      </c>
      <c r="E14" s="10" t="s">
        <v>57</v>
      </c>
      <c r="F14" s="10" t="s">
        <v>47</v>
      </c>
      <c r="G14" s="10">
        <v>5900</v>
      </c>
      <c r="H14" s="10">
        <v>3600</v>
      </c>
      <c r="I14" s="10">
        <f t="shared" si="0"/>
        <v>9500</v>
      </c>
    </row>
    <row r="15" spans="1:9" x14ac:dyDescent="0.3">
      <c r="A15" s="10">
        <v>13</v>
      </c>
      <c r="B15" s="10" t="s">
        <v>327</v>
      </c>
      <c r="C15" s="10" t="s">
        <v>71</v>
      </c>
      <c r="D15" s="10" t="s">
        <v>44</v>
      </c>
      <c r="E15" s="10" t="s">
        <v>57</v>
      </c>
      <c r="F15" s="10" t="s">
        <v>47</v>
      </c>
      <c r="G15" s="10">
        <v>7500</v>
      </c>
      <c r="H15" s="10">
        <v>3600</v>
      </c>
      <c r="I15" s="10">
        <f t="shared" si="0"/>
        <v>11100</v>
      </c>
    </row>
    <row r="16" spans="1:9" x14ac:dyDescent="0.3">
      <c r="A16" s="10">
        <v>14</v>
      </c>
      <c r="B16" s="10" t="s">
        <v>327</v>
      </c>
      <c r="C16" s="10" t="s">
        <v>43</v>
      </c>
      <c r="D16" s="10" t="s">
        <v>44</v>
      </c>
      <c r="E16" s="10" t="s">
        <v>328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329</v>
      </c>
      <c r="C17" s="10" t="s">
        <v>44</v>
      </c>
      <c r="D17" s="10" t="s">
        <v>71</v>
      </c>
      <c r="E17" s="10" t="s">
        <v>290</v>
      </c>
      <c r="F17" s="10" t="s">
        <v>47</v>
      </c>
      <c r="G17" s="10">
        <v>5800</v>
      </c>
      <c r="H17" s="10">
        <v>3600</v>
      </c>
      <c r="I17" s="10">
        <f t="shared" si="0"/>
        <v>9400</v>
      </c>
    </row>
    <row r="18" spans="1:9" x14ac:dyDescent="0.3">
      <c r="A18" s="10">
        <v>16</v>
      </c>
      <c r="B18" s="10" t="s">
        <v>330</v>
      </c>
      <c r="C18" s="10" t="s">
        <v>71</v>
      </c>
      <c r="D18" s="10" t="s">
        <v>44</v>
      </c>
      <c r="E18" s="10" t="s">
        <v>77</v>
      </c>
      <c r="F18" s="10" t="s">
        <v>47</v>
      </c>
      <c r="G18" s="10">
        <v>7500</v>
      </c>
      <c r="H18" s="10">
        <v>3600</v>
      </c>
      <c r="I18" s="10">
        <f t="shared" si="0"/>
        <v>11100</v>
      </c>
    </row>
    <row r="19" spans="1:9" x14ac:dyDescent="0.3">
      <c r="A19" s="10">
        <v>17</v>
      </c>
      <c r="B19" s="10" t="s">
        <v>330</v>
      </c>
      <c r="C19" s="10" t="s">
        <v>71</v>
      </c>
      <c r="D19" s="10" t="s">
        <v>44</v>
      </c>
      <c r="E19" s="10" t="s">
        <v>92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10" t="s">
        <v>330</v>
      </c>
      <c r="C20" s="10" t="s">
        <v>44</v>
      </c>
      <c r="D20" s="10" t="s">
        <v>71</v>
      </c>
      <c r="E20" s="10" t="s">
        <v>282</v>
      </c>
      <c r="F20" s="10" t="s">
        <v>47</v>
      </c>
      <c r="G20" s="10">
        <v>5800</v>
      </c>
      <c r="H20" s="10">
        <v>3600</v>
      </c>
      <c r="I20" s="10">
        <f t="shared" si="0"/>
        <v>9400</v>
      </c>
    </row>
    <row r="21" spans="1:9" x14ac:dyDescent="0.3">
      <c r="A21" s="10">
        <v>19</v>
      </c>
      <c r="B21" s="10" t="s">
        <v>330</v>
      </c>
      <c r="C21" s="10" t="s">
        <v>44</v>
      </c>
      <c r="D21" s="10" t="s">
        <v>71</v>
      </c>
      <c r="E21" s="10" t="s">
        <v>57</v>
      </c>
      <c r="F21" s="10" t="s">
        <v>47</v>
      </c>
      <c r="G21" s="10">
        <v>5800</v>
      </c>
      <c r="H21" s="10">
        <v>3600</v>
      </c>
      <c r="I21" s="10">
        <f t="shared" si="0"/>
        <v>9400</v>
      </c>
    </row>
    <row r="22" spans="1:9" x14ac:dyDescent="0.3">
      <c r="A22" s="10">
        <v>20</v>
      </c>
      <c r="B22" s="10" t="s">
        <v>331</v>
      </c>
      <c r="C22" s="10" t="s">
        <v>43</v>
      </c>
      <c r="D22" s="10" t="s">
        <v>44</v>
      </c>
      <c r="E22" s="10" t="s">
        <v>282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10" t="s">
        <v>331</v>
      </c>
      <c r="C23" s="10" t="s">
        <v>71</v>
      </c>
      <c r="D23" s="10" t="s">
        <v>44</v>
      </c>
      <c r="E23" s="10" t="s">
        <v>57</v>
      </c>
      <c r="F23" s="10" t="s">
        <v>47</v>
      </c>
      <c r="G23" s="10">
        <v>7500</v>
      </c>
      <c r="H23" s="10">
        <v>3600</v>
      </c>
      <c r="I23" s="10">
        <f>+H23+G23</f>
        <v>11100</v>
      </c>
    </row>
    <row r="24" spans="1:9" x14ac:dyDescent="0.3">
      <c r="A24" s="10">
        <v>22</v>
      </c>
      <c r="B24" s="10" t="s">
        <v>331</v>
      </c>
      <c r="C24" s="10" t="s">
        <v>44</v>
      </c>
      <c r="D24" s="10" t="s">
        <v>71</v>
      </c>
      <c r="E24" s="10" t="s">
        <v>77</v>
      </c>
      <c r="F24" s="10" t="s">
        <v>47</v>
      </c>
      <c r="G24" s="10">
        <v>5800</v>
      </c>
      <c r="H24" s="10">
        <v>3600</v>
      </c>
      <c r="I24" s="10">
        <f t="shared" si="0"/>
        <v>9400</v>
      </c>
    </row>
    <row r="25" spans="1:9" x14ac:dyDescent="0.3">
      <c r="A25" s="10">
        <v>23</v>
      </c>
      <c r="B25" s="10" t="s">
        <v>332</v>
      </c>
      <c r="C25" s="10" t="s">
        <v>71</v>
      </c>
      <c r="D25" s="10" t="s">
        <v>44</v>
      </c>
      <c r="E25" s="10" t="s">
        <v>282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332</v>
      </c>
      <c r="C26" s="10" t="s">
        <v>44</v>
      </c>
      <c r="D26" s="10" t="s">
        <v>124</v>
      </c>
      <c r="E26" s="10" t="s">
        <v>77</v>
      </c>
      <c r="F26" s="10" t="s">
        <v>47</v>
      </c>
      <c r="G26" s="10">
        <v>5900</v>
      </c>
      <c r="H26" s="10">
        <v>3600</v>
      </c>
      <c r="I26" s="10">
        <f t="shared" si="0"/>
        <v>9500</v>
      </c>
    </row>
    <row r="27" spans="1:9" x14ac:dyDescent="0.3">
      <c r="A27" s="10">
        <v>25</v>
      </c>
      <c r="B27" s="10" t="s">
        <v>333</v>
      </c>
      <c r="C27" s="10" t="s">
        <v>43</v>
      </c>
      <c r="D27" s="10" t="s">
        <v>44</v>
      </c>
      <c r="E27" s="10" t="s">
        <v>282</v>
      </c>
      <c r="F27" s="10" t="s">
        <v>47</v>
      </c>
      <c r="G27" s="10">
        <v>7500</v>
      </c>
      <c r="H27" s="10">
        <v>3600</v>
      </c>
      <c r="I27" s="10">
        <f t="shared" si="0"/>
        <v>11100</v>
      </c>
    </row>
    <row r="28" spans="1:9" x14ac:dyDescent="0.3">
      <c r="A28" s="10">
        <v>26</v>
      </c>
      <c r="B28" s="10" t="s">
        <v>333</v>
      </c>
      <c r="C28" s="10" t="s">
        <v>43</v>
      </c>
      <c r="D28" s="10" t="s">
        <v>44</v>
      </c>
      <c r="E28" s="10" t="s">
        <v>77</v>
      </c>
      <c r="F28" s="10" t="s">
        <v>47</v>
      </c>
      <c r="G28" s="10">
        <v>7500</v>
      </c>
      <c r="H28" s="10">
        <v>3600</v>
      </c>
      <c r="I28" s="10">
        <f t="shared" si="0"/>
        <v>11100</v>
      </c>
    </row>
    <row r="29" spans="1:9" x14ac:dyDescent="0.3">
      <c r="A29" s="10">
        <v>27</v>
      </c>
      <c r="B29" s="10" t="s">
        <v>333</v>
      </c>
      <c r="C29" s="10" t="s">
        <v>71</v>
      </c>
      <c r="D29" s="10" t="s">
        <v>44</v>
      </c>
      <c r="E29" s="10" t="s">
        <v>57</v>
      </c>
      <c r="F29" s="10" t="s">
        <v>47</v>
      </c>
      <c r="G29" s="10">
        <v>7500</v>
      </c>
      <c r="H29" s="10">
        <v>3600</v>
      </c>
      <c r="I29" s="10">
        <f t="shared" si="0"/>
        <v>11100</v>
      </c>
    </row>
    <row r="30" spans="1:9" x14ac:dyDescent="0.3">
      <c r="A30" s="10">
        <v>28</v>
      </c>
      <c r="B30" s="10" t="s">
        <v>333</v>
      </c>
      <c r="C30" s="10" t="s">
        <v>44</v>
      </c>
      <c r="D30" s="10" t="s">
        <v>71</v>
      </c>
      <c r="E30" s="10" t="s">
        <v>125</v>
      </c>
      <c r="F30" s="10" t="s">
        <v>47</v>
      </c>
      <c r="G30" s="10">
        <v>5800</v>
      </c>
      <c r="H30" s="10">
        <v>3600</v>
      </c>
      <c r="I30" s="10">
        <f t="shared" si="0"/>
        <v>9400</v>
      </c>
    </row>
    <row r="31" spans="1:9" x14ac:dyDescent="0.3">
      <c r="A31" s="10">
        <v>29</v>
      </c>
      <c r="B31" s="10" t="s">
        <v>333</v>
      </c>
      <c r="C31" s="10" t="s">
        <v>44</v>
      </c>
      <c r="D31" s="10" t="s">
        <v>71</v>
      </c>
      <c r="E31" s="10" t="s">
        <v>282</v>
      </c>
      <c r="F31" s="10" t="s">
        <v>47</v>
      </c>
      <c r="G31" s="10">
        <v>5800</v>
      </c>
      <c r="H31" s="10">
        <v>3600</v>
      </c>
      <c r="I31" s="10">
        <f t="shared" si="0"/>
        <v>9400</v>
      </c>
    </row>
    <row r="32" spans="1:9" x14ac:dyDescent="0.3">
      <c r="A32" s="10">
        <v>30</v>
      </c>
      <c r="B32" s="10" t="s">
        <v>333</v>
      </c>
      <c r="C32" s="10" t="s">
        <v>44</v>
      </c>
      <c r="D32" s="10" t="s">
        <v>288</v>
      </c>
      <c r="E32" s="10" t="s">
        <v>60</v>
      </c>
      <c r="F32" s="10" t="s">
        <v>61</v>
      </c>
      <c r="G32" s="10">
        <v>5000</v>
      </c>
      <c r="H32" s="10">
        <v>1200</v>
      </c>
      <c r="I32" s="10">
        <f t="shared" si="0"/>
        <v>6200</v>
      </c>
    </row>
    <row r="33" spans="1:9" x14ac:dyDescent="0.3">
      <c r="A33" s="10">
        <v>31</v>
      </c>
      <c r="B33" s="10" t="s">
        <v>333</v>
      </c>
      <c r="C33" s="10" t="s">
        <v>44</v>
      </c>
      <c r="D33" s="10" t="s">
        <v>124</v>
      </c>
      <c r="E33" s="10" t="s">
        <v>94</v>
      </c>
      <c r="F33" s="10" t="s">
        <v>63</v>
      </c>
      <c r="G33" s="10">
        <v>2800</v>
      </c>
      <c r="H33" s="10">
        <v>600</v>
      </c>
      <c r="I33" s="10">
        <f t="shared" si="0"/>
        <v>3400</v>
      </c>
    </row>
    <row r="34" spans="1:9" x14ac:dyDescent="0.3">
      <c r="F34" s="28" t="s">
        <v>41</v>
      </c>
      <c r="G34" s="9">
        <f>SUM(G3:G33)</f>
        <v>199300</v>
      </c>
      <c r="H34" s="9">
        <f>SUM(H3:H33)</f>
        <v>100200</v>
      </c>
      <c r="I34" s="9">
        <f>SUM(I3:I33)</f>
        <v>299500</v>
      </c>
    </row>
    <row r="38" spans="1:9" x14ac:dyDescent="0.3">
      <c r="A38" s="8" t="s">
        <v>334</v>
      </c>
    </row>
    <row r="39" spans="1:9" ht="28.8" x14ac:dyDescent="0.3">
      <c r="A39" s="26" t="s">
        <v>25</v>
      </c>
      <c r="B39" s="26" t="s">
        <v>26</v>
      </c>
      <c r="C39" s="26" t="s">
        <v>27</v>
      </c>
      <c r="D39" s="26" t="s">
        <v>28</v>
      </c>
      <c r="E39" s="26" t="s">
        <v>30</v>
      </c>
      <c r="F39" s="27" t="s">
        <v>34</v>
      </c>
      <c r="G39" s="26" t="s">
        <v>35</v>
      </c>
      <c r="H39" s="26" t="s">
        <v>36</v>
      </c>
      <c r="I39" s="27" t="s">
        <v>37</v>
      </c>
    </row>
    <row r="40" spans="1:9" x14ac:dyDescent="0.3">
      <c r="A40" s="10">
        <v>1</v>
      </c>
      <c r="B40" s="10" t="s">
        <v>335</v>
      </c>
      <c r="C40" s="10" t="s">
        <v>43</v>
      </c>
      <c r="D40" s="10" t="s">
        <v>44</v>
      </c>
      <c r="E40" s="10" t="s">
        <v>282</v>
      </c>
      <c r="F40" s="10" t="s">
        <v>47</v>
      </c>
      <c r="G40" s="10">
        <v>7500</v>
      </c>
      <c r="H40" s="10">
        <v>3600</v>
      </c>
      <c r="I40" s="10">
        <f>+H40+G40</f>
        <v>11100</v>
      </c>
    </row>
    <row r="41" spans="1:9" x14ac:dyDescent="0.3">
      <c r="A41" s="10">
        <v>2</v>
      </c>
      <c r="B41" s="10" t="s">
        <v>335</v>
      </c>
      <c r="C41" s="10" t="s">
        <v>71</v>
      </c>
      <c r="D41" s="10" t="s">
        <v>44</v>
      </c>
      <c r="E41" s="10" t="s">
        <v>77</v>
      </c>
      <c r="F41" s="10" t="s">
        <v>47</v>
      </c>
      <c r="G41" s="10">
        <v>7500</v>
      </c>
      <c r="H41" s="10">
        <v>3600</v>
      </c>
      <c r="I41" s="10">
        <f t="shared" ref="I41:I75" si="1">+H41+G41</f>
        <v>11100</v>
      </c>
    </row>
    <row r="42" spans="1:9" x14ac:dyDescent="0.3">
      <c r="A42" s="10">
        <v>3</v>
      </c>
      <c r="B42" s="10" t="s">
        <v>335</v>
      </c>
      <c r="C42" s="10" t="s">
        <v>44</v>
      </c>
      <c r="D42" s="10" t="s">
        <v>124</v>
      </c>
      <c r="E42" s="10" t="s">
        <v>57</v>
      </c>
      <c r="F42" s="10" t="s">
        <v>47</v>
      </c>
      <c r="G42" s="10">
        <v>5900</v>
      </c>
      <c r="H42" s="10">
        <v>3600</v>
      </c>
      <c r="I42" s="10">
        <f t="shared" si="1"/>
        <v>9500</v>
      </c>
    </row>
    <row r="43" spans="1:9" x14ac:dyDescent="0.3">
      <c r="A43" s="10">
        <v>4</v>
      </c>
      <c r="B43" s="10" t="s">
        <v>336</v>
      </c>
      <c r="C43" s="10" t="s">
        <v>44</v>
      </c>
      <c r="D43" s="10" t="s">
        <v>71</v>
      </c>
      <c r="E43" s="10" t="s">
        <v>282</v>
      </c>
      <c r="F43" s="10" t="s">
        <v>47</v>
      </c>
      <c r="G43" s="10">
        <v>5800</v>
      </c>
      <c r="H43" s="10">
        <v>3600</v>
      </c>
      <c r="I43" s="10">
        <f t="shared" si="1"/>
        <v>9400</v>
      </c>
    </row>
    <row r="44" spans="1:9" x14ac:dyDescent="0.3">
      <c r="A44" s="10">
        <v>5</v>
      </c>
      <c r="B44" s="10" t="s">
        <v>336</v>
      </c>
      <c r="C44" s="10" t="s">
        <v>44</v>
      </c>
      <c r="D44" s="10" t="s">
        <v>71</v>
      </c>
      <c r="E44" s="10" t="s">
        <v>92</v>
      </c>
      <c r="F44" s="10" t="s">
        <v>47</v>
      </c>
      <c r="G44" s="10">
        <v>5800</v>
      </c>
      <c r="H44" s="10">
        <v>3600</v>
      </c>
      <c r="I44" s="10">
        <f t="shared" si="1"/>
        <v>9400</v>
      </c>
    </row>
    <row r="45" spans="1:9" x14ac:dyDescent="0.3">
      <c r="A45" s="10">
        <v>6</v>
      </c>
      <c r="B45" s="10" t="s">
        <v>336</v>
      </c>
      <c r="C45" s="10" t="s">
        <v>71</v>
      </c>
      <c r="D45" s="10" t="s">
        <v>44</v>
      </c>
      <c r="E45" s="10" t="s">
        <v>57</v>
      </c>
      <c r="F45" s="10" t="s">
        <v>47</v>
      </c>
      <c r="G45" s="10">
        <v>7500</v>
      </c>
      <c r="H45" s="10">
        <v>3600</v>
      </c>
      <c r="I45" s="10">
        <f t="shared" si="1"/>
        <v>11100</v>
      </c>
    </row>
    <row r="46" spans="1:9" x14ac:dyDescent="0.3">
      <c r="A46" s="10">
        <v>7</v>
      </c>
      <c r="B46" s="10" t="s">
        <v>336</v>
      </c>
      <c r="C46" s="10" t="s">
        <v>44</v>
      </c>
      <c r="D46" s="10" t="s">
        <v>288</v>
      </c>
      <c r="E46" s="10" t="s">
        <v>77</v>
      </c>
      <c r="F46" s="10" t="s">
        <v>47</v>
      </c>
      <c r="G46" s="10">
        <v>6200</v>
      </c>
      <c r="H46" s="10">
        <v>2400</v>
      </c>
      <c r="I46" s="10">
        <f t="shared" si="1"/>
        <v>8600</v>
      </c>
    </row>
    <row r="47" spans="1:9" x14ac:dyDescent="0.3">
      <c r="A47" s="10">
        <v>8</v>
      </c>
      <c r="B47" s="10" t="s">
        <v>337</v>
      </c>
      <c r="C47" s="10" t="s">
        <v>43</v>
      </c>
      <c r="D47" s="10" t="s">
        <v>44</v>
      </c>
      <c r="E47" s="10" t="s">
        <v>282</v>
      </c>
      <c r="F47" s="10" t="s">
        <v>47</v>
      </c>
      <c r="G47" s="10">
        <v>7500</v>
      </c>
      <c r="H47" s="10">
        <v>3600</v>
      </c>
      <c r="I47" s="10">
        <f t="shared" si="1"/>
        <v>11100</v>
      </c>
    </row>
    <row r="48" spans="1:9" x14ac:dyDescent="0.3">
      <c r="A48" s="10">
        <v>9</v>
      </c>
      <c r="B48" s="10" t="s">
        <v>337</v>
      </c>
      <c r="C48" s="10" t="s">
        <v>71</v>
      </c>
      <c r="D48" s="10" t="s">
        <v>44</v>
      </c>
      <c r="E48" s="10" t="s">
        <v>77</v>
      </c>
      <c r="F48" s="10" t="s">
        <v>47</v>
      </c>
      <c r="G48" s="10">
        <v>7500</v>
      </c>
      <c r="H48" s="10">
        <v>3600</v>
      </c>
      <c r="I48" s="10">
        <f t="shared" si="1"/>
        <v>11100</v>
      </c>
    </row>
    <row r="49" spans="1:9" x14ac:dyDescent="0.3">
      <c r="A49" s="10">
        <v>10</v>
      </c>
      <c r="B49" s="10" t="s">
        <v>338</v>
      </c>
      <c r="C49" s="10" t="s">
        <v>71</v>
      </c>
      <c r="D49" s="10" t="s">
        <v>44</v>
      </c>
      <c r="E49" s="10" t="s">
        <v>282</v>
      </c>
      <c r="F49" s="10" t="s">
        <v>47</v>
      </c>
      <c r="G49" s="10">
        <v>7500</v>
      </c>
      <c r="H49" s="10">
        <v>3600</v>
      </c>
      <c r="I49" s="10">
        <f t="shared" si="1"/>
        <v>11100</v>
      </c>
    </row>
    <row r="50" spans="1:9" x14ac:dyDescent="0.3">
      <c r="A50" s="10">
        <v>11</v>
      </c>
      <c r="B50" s="10" t="s">
        <v>338</v>
      </c>
      <c r="C50" s="10" t="s">
        <v>71</v>
      </c>
      <c r="D50" s="10" t="s">
        <v>44</v>
      </c>
      <c r="E50" s="10" t="s">
        <v>77</v>
      </c>
      <c r="F50" s="10" t="s">
        <v>47</v>
      </c>
      <c r="G50" s="10">
        <v>7500</v>
      </c>
      <c r="H50" s="10">
        <v>3600</v>
      </c>
      <c r="I50" s="10">
        <f t="shared" si="1"/>
        <v>11100</v>
      </c>
    </row>
    <row r="51" spans="1:9" x14ac:dyDescent="0.3">
      <c r="A51" s="10">
        <v>12</v>
      </c>
      <c r="B51" s="10" t="s">
        <v>339</v>
      </c>
      <c r="C51" s="10" t="s">
        <v>43</v>
      </c>
      <c r="D51" s="10" t="s">
        <v>44</v>
      </c>
      <c r="E51" s="10" t="s">
        <v>125</v>
      </c>
      <c r="F51" s="10" t="s">
        <v>47</v>
      </c>
      <c r="G51" s="10">
        <v>7500</v>
      </c>
      <c r="H51" s="10">
        <v>3600</v>
      </c>
      <c r="I51" s="10">
        <f t="shared" si="1"/>
        <v>11100</v>
      </c>
    </row>
    <row r="52" spans="1:9" x14ac:dyDescent="0.3">
      <c r="A52" s="10">
        <v>13</v>
      </c>
      <c r="B52" s="10" t="s">
        <v>339</v>
      </c>
      <c r="C52" s="10" t="s">
        <v>43</v>
      </c>
      <c r="D52" s="10" t="s">
        <v>44</v>
      </c>
      <c r="E52" s="10" t="s">
        <v>77</v>
      </c>
      <c r="F52" s="10" t="s">
        <v>47</v>
      </c>
      <c r="G52" s="10">
        <v>7500</v>
      </c>
      <c r="H52" s="10">
        <v>3600</v>
      </c>
      <c r="I52" s="10">
        <f t="shared" si="1"/>
        <v>11100</v>
      </c>
    </row>
    <row r="53" spans="1:9" x14ac:dyDescent="0.3">
      <c r="A53" s="10">
        <v>14</v>
      </c>
      <c r="B53" s="10" t="s">
        <v>339</v>
      </c>
      <c r="C53" s="10" t="s">
        <v>44</v>
      </c>
      <c r="D53" s="10" t="s">
        <v>71</v>
      </c>
      <c r="E53" s="10" t="s">
        <v>57</v>
      </c>
      <c r="F53" s="10" t="s">
        <v>47</v>
      </c>
      <c r="G53" s="10">
        <v>5800</v>
      </c>
      <c r="H53" s="10">
        <v>3600</v>
      </c>
      <c r="I53" s="10">
        <f t="shared" si="1"/>
        <v>9400</v>
      </c>
    </row>
    <row r="54" spans="1:9" x14ac:dyDescent="0.3">
      <c r="A54" s="10">
        <v>15</v>
      </c>
      <c r="B54" s="10" t="s">
        <v>339</v>
      </c>
      <c r="C54" s="10" t="s">
        <v>44</v>
      </c>
      <c r="D54" s="10" t="s">
        <v>71</v>
      </c>
      <c r="E54" s="10" t="s">
        <v>92</v>
      </c>
      <c r="F54" s="10" t="s">
        <v>47</v>
      </c>
      <c r="G54" s="10">
        <v>5800</v>
      </c>
      <c r="H54" s="10">
        <v>3600</v>
      </c>
      <c r="I54" s="10">
        <f t="shared" si="1"/>
        <v>9400</v>
      </c>
    </row>
    <row r="55" spans="1:9" x14ac:dyDescent="0.3">
      <c r="A55" s="10">
        <v>16</v>
      </c>
      <c r="B55" s="10" t="s">
        <v>339</v>
      </c>
      <c r="C55" s="10" t="s">
        <v>44</v>
      </c>
      <c r="D55" s="10" t="s">
        <v>124</v>
      </c>
      <c r="E55" s="10" t="s">
        <v>282</v>
      </c>
      <c r="F55" s="10" t="s">
        <v>47</v>
      </c>
      <c r="G55" s="10">
        <v>5900</v>
      </c>
      <c r="H55" s="10">
        <v>3600</v>
      </c>
      <c r="I55" s="10">
        <f t="shared" si="1"/>
        <v>9500</v>
      </c>
    </row>
    <row r="56" spans="1:9" x14ac:dyDescent="0.3">
      <c r="A56" s="10">
        <v>17</v>
      </c>
      <c r="B56" s="10" t="s">
        <v>339</v>
      </c>
      <c r="C56" s="10" t="s">
        <v>124</v>
      </c>
      <c r="D56" s="10" t="s">
        <v>44</v>
      </c>
      <c r="E56" s="10" t="s">
        <v>282</v>
      </c>
      <c r="F56" s="10" t="s">
        <v>47</v>
      </c>
      <c r="G56" s="10">
        <v>6500</v>
      </c>
      <c r="H56" s="10">
        <v>3600</v>
      </c>
      <c r="I56" s="10">
        <f t="shared" si="1"/>
        <v>10100</v>
      </c>
    </row>
    <row r="57" spans="1:9" x14ac:dyDescent="0.3">
      <c r="A57" s="10">
        <v>18</v>
      </c>
      <c r="B57" s="10" t="s">
        <v>340</v>
      </c>
      <c r="C57" s="10" t="s">
        <v>44</v>
      </c>
      <c r="D57" s="10" t="s">
        <v>71</v>
      </c>
      <c r="E57" s="10" t="s">
        <v>77</v>
      </c>
      <c r="F57" s="10" t="s">
        <v>47</v>
      </c>
      <c r="G57" s="10">
        <v>5800</v>
      </c>
      <c r="H57" s="10">
        <v>3600</v>
      </c>
      <c r="I57" s="10">
        <f t="shared" si="1"/>
        <v>9400</v>
      </c>
    </row>
    <row r="58" spans="1:9" x14ac:dyDescent="0.3">
      <c r="A58" s="10">
        <v>19</v>
      </c>
      <c r="B58" s="10" t="s">
        <v>341</v>
      </c>
      <c r="C58" s="10" t="s">
        <v>71</v>
      </c>
      <c r="D58" s="10" t="s">
        <v>44</v>
      </c>
      <c r="E58" s="10" t="s">
        <v>282</v>
      </c>
      <c r="F58" s="10" t="s">
        <v>47</v>
      </c>
      <c r="G58" s="10">
        <v>7500</v>
      </c>
      <c r="H58" s="10">
        <v>3600</v>
      </c>
      <c r="I58" s="10">
        <f t="shared" si="1"/>
        <v>11100</v>
      </c>
    </row>
    <row r="59" spans="1:9" x14ac:dyDescent="0.3">
      <c r="A59" s="10">
        <v>20</v>
      </c>
      <c r="B59" s="10" t="s">
        <v>341</v>
      </c>
      <c r="C59" s="10" t="s">
        <v>71</v>
      </c>
      <c r="D59" s="10" t="s">
        <v>44</v>
      </c>
      <c r="E59" s="10" t="s">
        <v>77</v>
      </c>
      <c r="F59" s="10" t="s">
        <v>47</v>
      </c>
      <c r="G59" s="10">
        <v>7500</v>
      </c>
      <c r="H59" s="10">
        <v>3600</v>
      </c>
      <c r="I59" s="10">
        <f t="shared" si="1"/>
        <v>11100</v>
      </c>
    </row>
    <row r="60" spans="1:9" x14ac:dyDescent="0.3">
      <c r="A60" s="10">
        <v>21</v>
      </c>
      <c r="B60" s="10" t="s">
        <v>342</v>
      </c>
      <c r="C60" s="10" t="s">
        <v>43</v>
      </c>
      <c r="D60" s="10" t="s">
        <v>44</v>
      </c>
      <c r="E60" s="10" t="s">
        <v>60</v>
      </c>
      <c r="F60" s="10" t="s">
        <v>61</v>
      </c>
      <c r="G60" s="10">
        <v>6000</v>
      </c>
      <c r="H60" s="10">
        <v>1200</v>
      </c>
      <c r="I60" s="10">
        <f t="shared" si="1"/>
        <v>7200</v>
      </c>
    </row>
    <row r="61" spans="1:9" x14ac:dyDescent="0.3">
      <c r="A61" s="10">
        <v>22</v>
      </c>
      <c r="B61" s="10" t="s">
        <v>342</v>
      </c>
      <c r="C61" s="10" t="s">
        <v>71</v>
      </c>
      <c r="D61" s="10" t="s">
        <v>44</v>
      </c>
      <c r="E61" s="10" t="s">
        <v>282</v>
      </c>
      <c r="F61" s="10" t="s">
        <v>47</v>
      </c>
      <c r="G61" s="10">
        <v>7500</v>
      </c>
      <c r="H61" s="10">
        <v>3600</v>
      </c>
      <c r="I61" s="10">
        <f t="shared" si="1"/>
        <v>11100</v>
      </c>
    </row>
    <row r="62" spans="1:9" x14ac:dyDescent="0.3">
      <c r="A62" s="10">
        <v>23</v>
      </c>
      <c r="B62" s="10" t="s">
        <v>342</v>
      </c>
      <c r="C62" s="10" t="s">
        <v>44</v>
      </c>
      <c r="D62" s="10" t="s">
        <v>71</v>
      </c>
      <c r="E62" s="10" t="s">
        <v>57</v>
      </c>
      <c r="F62" s="10" t="s">
        <v>47</v>
      </c>
      <c r="G62" s="10">
        <v>5800</v>
      </c>
      <c r="H62" s="10">
        <v>3600</v>
      </c>
      <c r="I62" s="10">
        <f t="shared" si="1"/>
        <v>9400</v>
      </c>
    </row>
    <row r="63" spans="1:9" x14ac:dyDescent="0.3">
      <c r="A63" s="10">
        <v>24</v>
      </c>
      <c r="B63" s="10" t="s">
        <v>342</v>
      </c>
      <c r="C63" s="10" t="s">
        <v>44</v>
      </c>
      <c r="D63" s="10" t="s">
        <v>124</v>
      </c>
      <c r="E63" s="10" t="s">
        <v>77</v>
      </c>
      <c r="F63" s="10" t="s">
        <v>47</v>
      </c>
      <c r="G63" s="10">
        <v>5900</v>
      </c>
      <c r="H63" s="10">
        <v>3600</v>
      </c>
      <c r="I63" s="10">
        <f t="shared" si="1"/>
        <v>9500</v>
      </c>
    </row>
    <row r="64" spans="1:9" x14ac:dyDescent="0.3">
      <c r="A64" s="10">
        <v>25</v>
      </c>
      <c r="B64" s="10" t="s">
        <v>342</v>
      </c>
      <c r="C64" s="10" t="s">
        <v>44</v>
      </c>
      <c r="D64" s="10" t="s">
        <v>124</v>
      </c>
      <c r="E64" s="10" t="s">
        <v>92</v>
      </c>
      <c r="F64" s="10" t="s">
        <v>47</v>
      </c>
      <c r="G64" s="10">
        <v>5900</v>
      </c>
      <c r="H64" s="10">
        <v>3600</v>
      </c>
      <c r="I64" s="10">
        <f t="shared" si="1"/>
        <v>9500</v>
      </c>
    </row>
    <row r="65" spans="1:10" x14ac:dyDescent="0.3">
      <c r="A65" s="10">
        <v>26</v>
      </c>
      <c r="B65" s="10" t="s">
        <v>343</v>
      </c>
      <c r="C65" s="10" t="s">
        <v>44</v>
      </c>
      <c r="D65" s="10" t="s">
        <v>71</v>
      </c>
      <c r="E65" s="10" t="s">
        <v>282</v>
      </c>
      <c r="F65" s="10" t="s">
        <v>47</v>
      </c>
      <c r="G65" s="10">
        <v>5800</v>
      </c>
      <c r="H65" s="10">
        <v>3600</v>
      </c>
      <c r="I65" s="10">
        <f t="shared" si="1"/>
        <v>9400</v>
      </c>
    </row>
    <row r="66" spans="1:10" x14ac:dyDescent="0.3">
      <c r="A66" s="10">
        <v>27</v>
      </c>
      <c r="B66" s="10" t="s">
        <v>343</v>
      </c>
      <c r="C66" s="10" t="s">
        <v>44</v>
      </c>
      <c r="D66" s="10" t="s">
        <v>71</v>
      </c>
      <c r="E66" s="10" t="s">
        <v>77</v>
      </c>
      <c r="F66" s="10" t="s">
        <v>47</v>
      </c>
      <c r="G66" s="10">
        <v>5800</v>
      </c>
      <c r="H66" s="10">
        <v>3600</v>
      </c>
      <c r="I66" s="10">
        <f t="shared" si="1"/>
        <v>9400</v>
      </c>
    </row>
    <row r="67" spans="1:10" x14ac:dyDescent="0.3">
      <c r="A67" s="10">
        <v>28</v>
      </c>
      <c r="B67" s="10" t="s">
        <v>343</v>
      </c>
      <c r="C67" s="10" t="s">
        <v>44</v>
      </c>
      <c r="D67" s="10" t="s">
        <v>124</v>
      </c>
      <c r="E67" s="10" t="s">
        <v>77</v>
      </c>
      <c r="F67" s="10" t="s">
        <v>47</v>
      </c>
      <c r="G67" s="10">
        <v>5900</v>
      </c>
      <c r="H67" s="10">
        <v>3600</v>
      </c>
      <c r="I67" s="10">
        <f t="shared" si="1"/>
        <v>9500</v>
      </c>
    </row>
    <row r="68" spans="1:10" x14ac:dyDescent="0.3">
      <c r="A68" s="10">
        <v>29</v>
      </c>
      <c r="B68" s="10" t="s">
        <v>343</v>
      </c>
      <c r="C68" s="10" t="s">
        <v>344</v>
      </c>
      <c r="D68" s="10" t="s">
        <v>288</v>
      </c>
      <c r="E68" s="10" t="s">
        <v>60</v>
      </c>
      <c r="F68" s="10" t="s">
        <v>63</v>
      </c>
      <c r="G68" s="10">
        <v>3500</v>
      </c>
      <c r="H68" s="10">
        <v>1200</v>
      </c>
      <c r="I68" s="10">
        <f t="shared" si="1"/>
        <v>4700</v>
      </c>
      <c r="J68" t="s">
        <v>345</v>
      </c>
    </row>
    <row r="69" spans="1:10" x14ac:dyDescent="0.3">
      <c r="A69" s="10">
        <v>30</v>
      </c>
      <c r="B69" s="10" t="s">
        <v>346</v>
      </c>
      <c r="C69" s="10" t="s">
        <v>44</v>
      </c>
      <c r="D69" s="10" t="s">
        <v>347</v>
      </c>
      <c r="E69" s="10" t="s">
        <v>77</v>
      </c>
      <c r="F69" s="10" t="s">
        <v>47</v>
      </c>
      <c r="G69" s="10">
        <v>6200</v>
      </c>
      <c r="H69" s="10">
        <v>3600</v>
      </c>
      <c r="I69" s="10">
        <f t="shared" si="1"/>
        <v>9800</v>
      </c>
    </row>
    <row r="70" spans="1:10" x14ac:dyDescent="0.3">
      <c r="A70" s="10">
        <v>31</v>
      </c>
      <c r="B70" s="10" t="s">
        <v>346</v>
      </c>
      <c r="C70" s="10" t="s">
        <v>44</v>
      </c>
      <c r="D70" s="10" t="s">
        <v>348</v>
      </c>
      <c r="E70" s="10" t="s">
        <v>92</v>
      </c>
      <c r="F70" s="10" t="s">
        <v>47</v>
      </c>
      <c r="G70" s="10">
        <v>6200</v>
      </c>
      <c r="H70" s="10">
        <v>3600</v>
      </c>
      <c r="I70" s="10">
        <f t="shared" si="1"/>
        <v>9800</v>
      </c>
    </row>
    <row r="71" spans="1:10" x14ac:dyDescent="0.3">
      <c r="A71" s="10">
        <v>32</v>
      </c>
      <c r="B71" s="10" t="s">
        <v>346</v>
      </c>
      <c r="C71" s="10" t="s">
        <v>44</v>
      </c>
      <c r="D71" s="10" t="s">
        <v>71</v>
      </c>
      <c r="E71" s="10" t="s">
        <v>282</v>
      </c>
      <c r="F71" s="10" t="s">
        <v>47</v>
      </c>
      <c r="G71" s="10">
        <v>5800</v>
      </c>
      <c r="H71" s="10">
        <v>3600</v>
      </c>
      <c r="I71" s="10">
        <f t="shared" si="1"/>
        <v>9400</v>
      </c>
    </row>
    <row r="72" spans="1:10" x14ac:dyDescent="0.3">
      <c r="A72" s="10">
        <v>33</v>
      </c>
      <c r="B72" s="10" t="s">
        <v>346</v>
      </c>
      <c r="C72" s="10" t="s">
        <v>71</v>
      </c>
      <c r="D72" s="10" t="s">
        <v>44</v>
      </c>
      <c r="E72" s="10" t="s">
        <v>125</v>
      </c>
      <c r="F72" s="10" t="s">
        <v>47</v>
      </c>
      <c r="G72" s="10">
        <v>7500</v>
      </c>
      <c r="H72" s="10">
        <v>1200</v>
      </c>
      <c r="I72" s="10">
        <f t="shared" si="1"/>
        <v>8700</v>
      </c>
      <c r="J72" t="s">
        <v>349</v>
      </c>
    </row>
    <row r="73" spans="1:10" x14ac:dyDescent="0.3">
      <c r="A73" s="10">
        <v>34</v>
      </c>
      <c r="B73" s="10" t="s">
        <v>350</v>
      </c>
      <c r="C73" s="10" t="s">
        <v>44</v>
      </c>
      <c r="D73" s="10" t="s">
        <v>124</v>
      </c>
      <c r="E73" s="10" t="s">
        <v>77</v>
      </c>
      <c r="F73" s="10" t="s">
        <v>47</v>
      </c>
      <c r="G73" s="10">
        <v>5900</v>
      </c>
      <c r="H73" s="10">
        <v>3600</v>
      </c>
      <c r="I73" s="10">
        <f t="shared" si="1"/>
        <v>9500</v>
      </c>
    </row>
    <row r="74" spans="1:10" x14ac:dyDescent="0.3">
      <c r="A74" s="10">
        <v>35</v>
      </c>
      <c r="B74" s="10" t="s">
        <v>350</v>
      </c>
      <c r="C74" s="10" t="s">
        <v>44</v>
      </c>
      <c r="D74" s="10" t="s">
        <v>71</v>
      </c>
      <c r="E74" s="10" t="s">
        <v>282</v>
      </c>
      <c r="F74" s="10" t="s">
        <v>47</v>
      </c>
      <c r="G74" s="10">
        <v>7500</v>
      </c>
      <c r="H74" s="10">
        <v>3600</v>
      </c>
      <c r="I74" s="10">
        <f t="shared" si="1"/>
        <v>11100</v>
      </c>
    </row>
    <row r="75" spans="1:10" x14ac:dyDescent="0.3">
      <c r="A75" s="10">
        <v>36</v>
      </c>
      <c r="B75" s="10" t="s">
        <v>350</v>
      </c>
      <c r="C75" s="10" t="s">
        <v>71</v>
      </c>
      <c r="D75" s="10" t="s">
        <v>44</v>
      </c>
      <c r="E75" s="10" t="s">
        <v>282</v>
      </c>
      <c r="F75" s="10" t="s">
        <v>47</v>
      </c>
      <c r="G75" s="10">
        <v>5800</v>
      </c>
      <c r="H75" s="10">
        <v>2400</v>
      </c>
      <c r="I75" s="10">
        <f t="shared" si="1"/>
        <v>8200</v>
      </c>
    </row>
    <row r="76" spans="1:10" x14ac:dyDescent="0.3">
      <c r="F76" s="28" t="s">
        <v>41</v>
      </c>
      <c r="G76" s="9">
        <f>SUM(G40:G75)</f>
        <v>233000</v>
      </c>
      <c r="H76" s="9">
        <f>SUM(H40:H75)</f>
        <v>120000</v>
      </c>
      <c r="I76" s="9">
        <f>SUM(I40:I75)</f>
        <v>353000</v>
      </c>
    </row>
    <row r="78" spans="1:10" x14ac:dyDescent="0.3">
      <c r="G78" s="8">
        <f>+G76+G34</f>
        <v>432300</v>
      </c>
      <c r="H78" s="8">
        <f>+H76+H34</f>
        <v>220200</v>
      </c>
      <c r="I78" s="8">
        <f>+I76+I34</f>
        <v>652500</v>
      </c>
    </row>
    <row r="80" spans="1:10" x14ac:dyDescent="0.3">
      <c r="G80" s="8">
        <f>'April''25'!K55+'May''25'!K80+'June''25'!K78+'July''25'!G89+'Aug''25'!G103+'Oct''25'!G78</f>
        <v>3521300</v>
      </c>
      <c r="H80" s="8">
        <f>'April''25'!L55+'May''25'!L80+'June''25'!L78+'July''25'!H89+'Aug''25'!H103+'Oct''25'!H78</f>
        <v>1651600</v>
      </c>
      <c r="I80" s="8">
        <f>'April''25'!M55+'May''25'!M80+'June''25'!M78+'July''25'!I89+'Aug''25'!I103+'Oct''25'!I78</f>
        <v>5172900</v>
      </c>
    </row>
  </sheetData>
  <autoFilter ref="A2:I34" xr:uid="{04AF77B2-480B-450F-B17C-E028B928FD9A}"/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9EAF-F29B-4784-8402-24C76D9CC794}">
  <sheetPr>
    <pageSetUpPr fitToPage="1"/>
  </sheetPr>
  <dimension ref="A1:J114"/>
  <sheetViews>
    <sheetView showGridLines="0" topLeftCell="A93" zoomScale="102" zoomScaleNormal="160" workbookViewId="0">
      <selection activeCell="I105" sqref="I105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10" x14ac:dyDescent="0.3">
      <c r="A1" s="8" t="s">
        <v>355</v>
      </c>
    </row>
    <row r="2" spans="1:10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10" x14ac:dyDescent="0.3">
      <c r="A3" s="10">
        <v>1</v>
      </c>
      <c r="B3" s="10" t="s">
        <v>356</v>
      </c>
      <c r="C3" s="10" t="s">
        <v>43</v>
      </c>
      <c r="D3" s="10" t="s">
        <v>44</v>
      </c>
      <c r="E3" s="10" t="s">
        <v>77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10" x14ac:dyDescent="0.3">
      <c r="A4" s="10">
        <v>2</v>
      </c>
      <c r="B4" s="10" t="s">
        <v>356</v>
      </c>
      <c r="C4" s="10" t="s">
        <v>71</v>
      </c>
      <c r="D4" s="10" t="s">
        <v>44</v>
      </c>
      <c r="E4" s="10" t="s">
        <v>282</v>
      </c>
      <c r="F4" s="10" t="s">
        <v>47</v>
      </c>
      <c r="G4" s="10">
        <v>7500</v>
      </c>
      <c r="H4" s="10">
        <v>3600</v>
      </c>
      <c r="I4" s="10">
        <f t="shared" ref="I4:I38" si="0">+H4+G4</f>
        <v>11100</v>
      </c>
    </row>
    <row r="5" spans="1:10" x14ac:dyDescent="0.3">
      <c r="A5" s="10">
        <v>3</v>
      </c>
      <c r="B5" s="10" t="s">
        <v>356</v>
      </c>
      <c r="C5" s="10" t="s">
        <v>44</v>
      </c>
      <c r="D5" s="10" t="s">
        <v>357</v>
      </c>
      <c r="E5" s="10" t="s">
        <v>77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10" x14ac:dyDescent="0.3">
      <c r="A6" s="10">
        <v>4</v>
      </c>
      <c r="B6" s="10" t="s">
        <v>356</v>
      </c>
      <c r="C6" s="10" t="s">
        <v>358</v>
      </c>
      <c r="D6" s="10" t="s">
        <v>44</v>
      </c>
      <c r="E6" s="10" t="s">
        <v>60</v>
      </c>
      <c r="F6" s="10" t="s">
        <v>63</v>
      </c>
      <c r="G6" s="10">
        <v>3500</v>
      </c>
      <c r="H6" s="10">
        <v>600</v>
      </c>
      <c r="I6" s="10">
        <f t="shared" si="0"/>
        <v>4100</v>
      </c>
    </row>
    <row r="7" spans="1:10" x14ac:dyDescent="0.3">
      <c r="A7" s="10">
        <v>5</v>
      </c>
      <c r="B7" s="10" t="s">
        <v>359</v>
      </c>
      <c r="C7" s="10" t="s">
        <v>43</v>
      </c>
      <c r="D7" s="10" t="s">
        <v>44</v>
      </c>
      <c r="E7" s="10" t="s">
        <v>77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10" x14ac:dyDescent="0.3">
      <c r="A8" s="10">
        <v>6</v>
      </c>
      <c r="B8" s="10" t="s">
        <v>359</v>
      </c>
      <c r="C8" s="10" t="s">
        <v>44</v>
      </c>
      <c r="D8" s="10" t="s">
        <v>357</v>
      </c>
      <c r="E8" s="10" t="s">
        <v>282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10" x14ac:dyDescent="0.3">
      <c r="A9" s="10">
        <v>7</v>
      </c>
      <c r="B9" s="10" t="s">
        <v>359</v>
      </c>
      <c r="C9" s="10" t="s">
        <v>98</v>
      </c>
      <c r="D9" s="10" t="s">
        <v>44</v>
      </c>
      <c r="E9" s="10" t="s">
        <v>60</v>
      </c>
      <c r="F9" s="10" t="s">
        <v>61</v>
      </c>
      <c r="G9" s="10">
        <v>3500</v>
      </c>
      <c r="H9" s="10">
        <v>1200</v>
      </c>
      <c r="I9" s="10">
        <f t="shared" si="0"/>
        <v>4700</v>
      </c>
    </row>
    <row r="10" spans="1:10" x14ac:dyDescent="0.3">
      <c r="A10" s="10">
        <v>8</v>
      </c>
      <c r="B10" s="10" t="s">
        <v>359</v>
      </c>
      <c r="C10" s="10" t="s">
        <v>44</v>
      </c>
      <c r="D10" s="10" t="s">
        <v>124</v>
      </c>
      <c r="E10" s="10" t="s">
        <v>60</v>
      </c>
      <c r="F10" s="10" t="s">
        <v>63</v>
      </c>
      <c r="G10" s="10">
        <v>3500</v>
      </c>
      <c r="H10" s="10">
        <v>600</v>
      </c>
      <c r="I10" s="10">
        <f t="shared" si="0"/>
        <v>4100</v>
      </c>
    </row>
    <row r="11" spans="1:10" x14ac:dyDescent="0.3">
      <c r="A11" s="10">
        <v>9</v>
      </c>
      <c r="B11" s="10" t="s">
        <v>360</v>
      </c>
      <c r="C11" s="10" t="s">
        <v>71</v>
      </c>
      <c r="D11" s="10" t="s">
        <v>44</v>
      </c>
      <c r="E11" s="10" t="s">
        <v>77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10" x14ac:dyDescent="0.3">
      <c r="A12" s="10">
        <v>10</v>
      </c>
      <c r="B12" s="10" t="s">
        <v>360</v>
      </c>
      <c r="C12" s="10" t="s">
        <v>44</v>
      </c>
      <c r="D12" s="10" t="s">
        <v>357</v>
      </c>
      <c r="E12" s="10" t="s">
        <v>282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10" x14ac:dyDescent="0.3">
      <c r="A13" s="10">
        <v>11</v>
      </c>
      <c r="B13" s="10" t="s">
        <v>360</v>
      </c>
      <c r="C13" s="10" t="s">
        <v>44</v>
      </c>
      <c r="D13" s="10" t="s">
        <v>357</v>
      </c>
      <c r="E13" s="10" t="s">
        <v>57</v>
      </c>
      <c r="F13" s="10" t="s">
        <v>47</v>
      </c>
      <c r="G13" s="10">
        <v>7500</v>
      </c>
      <c r="H13" s="10">
        <v>3600</v>
      </c>
      <c r="I13" s="10">
        <f t="shared" si="0"/>
        <v>11100</v>
      </c>
    </row>
    <row r="14" spans="1:10" x14ac:dyDescent="0.3">
      <c r="A14" s="10">
        <v>12</v>
      </c>
      <c r="B14" s="10" t="s">
        <v>360</v>
      </c>
      <c r="C14" s="10" t="s">
        <v>361</v>
      </c>
      <c r="D14" s="10" t="s">
        <v>71</v>
      </c>
      <c r="E14" s="10" t="s">
        <v>362</v>
      </c>
      <c r="F14" s="10" t="s">
        <v>47</v>
      </c>
      <c r="G14" s="10">
        <v>5900</v>
      </c>
      <c r="H14" s="10">
        <v>3600</v>
      </c>
      <c r="I14" s="10">
        <f t="shared" si="0"/>
        <v>9500</v>
      </c>
      <c r="J14" t="s">
        <v>363</v>
      </c>
    </row>
    <row r="15" spans="1:10" x14ac:dyDescent="0.3">
      <c r="A15" s="10">
        <v>13</v>
      </c>
      <c r="B15" s="10" t="s">
        <v>376</v>
      </c>
      <c r="C15" s="10" t="s">
        <v>71</v>
      </c>
      <c r="D15" s="10" t="s">
        <v>44</v>
      </c>
      <c r="E15" s="10" t="s">
        <v>77</v>
      </c>
      <c r="F15" s="10" t="s">
        <v>47</v>
      </c>
      <c r="G15" s="10">
        <v>7500</v>
      </c>
      <c r="H15" s="10">
        <v>3600</v>
      </c>
      <c r="I15" s="10">
        <f t="shared" si="0"/>
        <v>11100</v>
      </c>
    </row>
    <row r="16" spans="1:10" x14ac:dyDescent="0.3">
      <c r="A16" s="10">
        <v>14</v>
      </c>
      <c r="B16" s="10" t="s">
        <v>376</v>
      </c>
      <c r="C16" s="10" t="s">
        <v>71</v>
      </c>
      <c r="D16" s="10" t="s">
        <v>44</v>
      </c>
      <c r="E16" s="10" t="s">
        <v>92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376</v>
      </c>
      <c r="C17" s="10" t="s">
        <v>43</v>
      </c>
      <c r="D17" s="10" t="s">
        <v>44</v>
      </c>
      <c r="E17" s="10" t="s">
        <v>282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10" t="s">
        <v>376</v>
      </c>
      <c r="C18" s="10" t="s">
        <v>44</v>
      </c>
      <c r="D18" s="10" t="s">
        <v>357</v>
      </c>
      <c r="E18" s="10" t="s">
        <v>57</v>
      </c>
      <c r="F18" s="10" t="s">
        <v>47</v>
      </c>
      <c r="G18" s="10">
        <v>7500</v>
      </c>
      <c r="H18" s="10">
        <v>3600</v>
      </c>
      <c r="I18" s="10">
        <f t="shared" si="0"/>
        <v>11100</v>
      </c>
    </row>
    <row r="19" spans="1:9" x14ac:dyDescent="0.3">
      <c r="A19" s="10">
        <v>17</v>
      </c>
      <c r="B19" s="10" t="s">
        <v>376</v>
      </c>
      <c r="C19" s="10" t="s">
        <v>44</v>
      </c>
      <c r="D19" s="10" t="s">
        <v>357</v>
      </c>
      <c r="E19" s="10" t="s">
        <v>282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10" t="s">
        <v>376</v>
      </c>
      <c r="C20" s="10" t="s">
        <v>44</v>
      </c>
      <c r="D20" s="10" t="s">
        <v>124</v>
      </c>
      <c r="E20" s="10" t="s">
        <v>77</v>
      </c>
      <c r="F20" s="10" t="s">
        <v>47</v>
      </c>
      <c r="G20" s="10">
        <v>5900</v>
      </c>
      <c r="H20" s="10">
        <v>3600</v>
      </c>
      <c r="I20" s="10">
        <f t="shared" si="0"/>
        <v>9500</v>
      </c>
    </row>
    <row r="21" spans="1:9" x14ac:dyDescent="0.3">
      <c r="A21" s="10">
        <v>19</v>
      </c>
      <c r="B21" s="10" t="s">
        <v>376</v>
      </c>
      <c r="C21" s="10" t="s">
        <v>361</v>
      </c>
      <c r="D21" s="10" t="s">
        <v>71</v>
      </c>
      <c r="E21" s="10" t="s">
        <v>60</v>
      </c>
      <c r="F21" s="10" t="s">
        <v>55</v>
      </c>
      <c r="G21" s="10">
        <v>4800</v>
      </c>
      <c r="H21" s="10">
        <v>1200</v>
      </c>
      <c r="I21" s="10">
        <f t="shared" si="0"/>
        <v>6000</v>
      </c>
    </row>
    <row r="22" spans="1:9" x14ac:dyDescent="0.3">
      <c r="A22" s="10">
        <v>20</v>
      </c>
      <c r="B22" s="10" t="s">
        <v>364</v>
      </c>
      <c r="C22" s="10" t="s">
        <v>71</v>
      </c>
      <c r="D22" s="10" t="s">
        <v>44</v>
      </c>
      <c r="E22" s="10" t="s">
        <v>77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10" t="s">
        <v>364</v>
      </c>
      <c r="C23" s="10" t="s">
        <v>44</v>
      </c>
      <c r="D23" s="10" t="s">
        <v>357</v>
      </c>
      <c r="E23" s="10" t="s">
        <v>57</v>
      </c>
      <c r="F23" s="10" t="s">
        <v>47</v>
      </c>
      <c r="G23" s="10">
        <v>7500</v>
      </c>
      <c r="H23" s="10">
        <v>3600</v>
      </c>
      <c r="I23" s="10">
        <f>+H23+G23</f>
        <v>11100</v>
      </c>
    </row>
    <row r="24" spans="1:9" x14ac:dyDescent="0.3">
      <c r="A24" s="10">
        <v>22</v>
      </c>
      <c r="B24" s="10" t="s">
        <v>364</v>
      </c>
      <c r="C24" s="10" t="s">
        <v>44</v>
      </c>
      <c r="D24" s="10" t="s">
        <v>357</v>
      </c>
      <c r="E24" s="10" t="s">
        <v>282</v>
      </c>
      <c r="F24" s="10" t="s">
        <v>47</v>
      </c>
      <c r="G24" s="10">
        <v>7500</v>
      </c>
      <c r="H24" s="10">
        <v>3600</v>
      </c>
      <c r="I24" s="10">
        <f t="shared" si="0"/>
        <v>11100</v>
      </c>
    </row>
    <row r="25" spans="1:9" x14ac:dyDescent="0.3">
      <c r="A25" s="10">
        <v>23</v>
      </c>
      <c r="B25" s="10" t="s">
        <v>364</v>
      </c>
      <c r="C25" s="10" t="s">
        <v>44</v>
      </c>
      <c r="D25" s="10" t="s">
        <v>124</v>
      </c>
      <c r="E25" s="10" t="s">
        <v>94</v>
      </c>
      <c r="F25" s="10" t="s">
        <v>63</v>
      </c>
      <c r="G25" s="10">
        <v>3500</v>
      </c>
      <c r="H25" s="10">
        <v>600</v>
      </c>
      <c r="I25" s="10">
        <f t="shared" si="0"/>
        <v>4100</v>
      </c>
    </row>
    <row r="26" spans="1:9" x14ac:dyDescent="0.3">
      <c r="A26" s="10">
        <v>24</v>
      </c>
      <c r="B26" s="10" t="s">
        <v>365</v>
      </c>
      <c r="C26" s="10" t="s">
        <v>44</v>
      </c>
      <c r="D26" s="10" t="s">
        <v>357</v>
      </c>
      <c r="E26" s="10" t="s">
        <v>57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10" t="s">
        <v>365</v>
      </c>
      <c r="C27" s="10" t="s">
        <v>44</v>
      </c>
      <c r="D27" s="10" t="s">
        <v>357</v>
      </c>
      <c r="E27" s="10" t="s">
        <v>77</v>
      </c>
      <c r="F27" s="10" t="s">
        <v>47</v>
      </c>
      <c r="G27" s="10">
        <v>7500</v>
      </c>
      <c r="H27" s="10">
        <v>3600</v>
      </c>
      <c r="I27" s="10">
        <f t="shared" si="0"/>
        <v>11100</v>
      </c>
    </row>
    <row r="28" spans="1:9" x14ac:dyDescent="0.3">
      <c r="A28" s="10">
        <v>26</v>
      </c>
      <c r="B28" s="10" t="s">
        <v>366</v>
      </c>
      <c r="C28" s="10" t="s">
        <v>71</v>
      </c>
      <c r="D28" s="10" t="s">
        <v>44</v>
      </c>
      <c r="E28" s="10" t="s">
        <v>367</v>
      </c>
      <c r="F28" s="10" t="s">
        <v>47</v>
      </c>
      <c r="G28" s="10">
        <v>7500</v>
      </c>
      <c r="H28" s="10">
        <v>3600</v>
      </c>
      <c r="I28" s="10">
        <f t="shared" si="0"/>
        <v>11100</v>
      </c>
    </row>
    <row r="29" spans="1:9" x14ac:dyDescent="0.3">
      <c r="A29" s="10">
        <v>27</v>
      </c>
      <c r="B29" s="10" t="s">
        <v>366</v>
      </c>
      <c r="C29" s="10" t="s">
        <v>43</v>
      </c>
      <c r="D29" s="10" t="s">
        <v>44</v>
      </c>
      <c r="E29" s="10" t="s">
        <v>282</v>
      </c>
      <c r="F29" s="10" t="s">
        <v>47</v>
      </c>
      <c r="G29" s="10">
        <v>7500</v>
      </c>
      <c r="H29" s="10">
        <v>3600</v>
      </c>
      <c r="I29" s="10">
        <f t="shared" si="0"/>
        <v>11100</v>
      </c>
    </row>
    <row r="30" spans="1:9" x14ac:dyDescent="0.3">
      <c r="A30" s="10">
        <v>28</v>
      </c>
      <c r="B30" s="10" t="s">
        <v>366</v>
      </c>
      <c r="C30" s="10" t="s">
        <v>71</v>
      </c>
      <c r="D30" s="10" t="s">
        <v>44</v>
      </c>
      <c r="E30" s="10" t="s">
        <v>242</v>
      </c>
      <c r="F30" s="10" t="s">
        <v>47</v>
      </c>
      <c r="G30" s="10">
        <v>7500</v>
      </c>
      <c r="H30" s="10">
        <v>3600</v>
      </c>
      <c r="I30" s="10">
        <f t="shared" si="0"/>
        <v>11100</v>
      </c>
    </row>
    <row r="31" spans="1:9" x14ac:dyDescent="0.3">
      <c r="A31" s="10">
        <v>29</v>
      </c>
      <c r="B31" s="10" t="s">
        <v>366</v>
      </c>
      <c r="C31" s="10" t="s">
        <v>43</v>
      </c>
      <c r="D31" s="10" t="s">
        <v>44</v>
      </c>
      <c r="E31" s="10" t="s">
        <v>125</v>
      </c>
      <c r="F31" s="10" t="s">
        <v>47</v>
      </c>
      <c r="G31" s="10">
        <v>7500</v>
      </c>
      <c r="H31" s="10">
        <v>3600</v>
      </c>
      <c r="I31" s="10">
        <f t="shared" si="0"/>
        <v>11100</v>
      </c>
    </row>
    <row r="32" spans="1:9" x14ac:dyDescent="0.3">
      <c r="A32" s="10">
        <v>30</v>
      </c>
      <c r="B32" s="10" t="s">
        <v>366</v>
      </c>
      <c r="C32" s="10" t="s">
        <v>44</v>
      </c>
      <c r="D32" s="10" t="s">
        <v>357</v>
      </c>
      <c r="E32" s="10" t="s">
        <v>57</v>
      </c>
      <c r="F32" s="10" t="s">
        <v>47</v>
      </c>
      <c r="G32" s="10">
        <v>7500</v>
      </c>
      <c r="H32" s="10">
        <v>3600</v>
      </c>
      <c r="I32" s="10">
        <f t="shared" si="0"/>
        <v>11100</v>
      </c>
    </row>
    <row r="33" spans="1:9" x14ac:dyDescent="0.3">
      <c r="A33" s="10">
        <v>31</v>
      </c>
      <c r="B33" s="10" t="s">
        <v>366</v>
      </c>
      <c r="C33" s="10" t="s">
        <v>44</v>
      </c>
      <c r="D33" s="10" t="s">
        <v>357</v>
      </c>
      <c r="E33" s="10" t="s">
        <v>282</v>
      </c>
      <c r="F33" s="10" t="s">
        <v>47</v>
      </c>
      <c r="G33" s="10">
        <v>7500</v>
      </c>
      <c r="H33" s="10">
        <v>3600</v>
      </c>
      <c r="I33" s="10">
        <f t="shared" si="0"/>
        <v>11100</v>
      </c>
    </row>
    <row r="34" spans="1:9" x14ac:dyDescent="0.3">
      <c r="A34" s="10">
        <v>32</v>
      </c>
      <c r="B34" s="10" t="s">
        <v>366</v>
      </c>
      <c r="C34" s="10" t="s">
        <v>44</v>
      </c>
      <c r="D34" s="10" t="s">
        <v>65</v>
      </c>
      <c r="E34" s="10" t="s">
        <v>77</v>
      </c>
      <c r="F34" s="10" t="s">
        <v>55</v>
      </c>
      <c r="G34" s="10">
        <v>5000</v>
      </c>
      <c r="H34" s="10">
        <v>1200</v>
      </c>
      <c r="I34" s="10">
        <f t="shared" si="0"/>
        <v>6200</v>
      </c>
    </row>
    <row r="35" spans="1:9" x14ac:dyDescent="0.3">
      <c r="A35" s="10">
        <v>33</v>
      </c>
      <c r="B35" s="10" t="s">
        <v>366</v>
      </c>
      <c r="C35" s="10" t="s">
        <v>44</v>
      </c>
      <c r="D35" s="10" t="s">
        <v>368</v>
      </c>
      <c r="E35" s="10" t="s">
        <v>94</v>
      </c>
      <c r="F35" s="10" t="s">
        <v>63</v>
      </c>
      <c r="G35" s="10">
        <v>3500</v>
      </c>
      <c r="H35" s="10">
        <v>700</v>
      </c>
      <c r="I35" s="10">
        <f t="shared" si="0"/>
        <v>4200</v>
      </c>
    </row>
    <row r="36" spans="1:9" x14ac:dyDescent="0.3">
      <c r="A36" s="10">
        <v>34</v>
      </c>
      <c r="B36" s="10" t="s">
        <v>366</v>
      </c>
      <c r="C36" s="10" t="s">
        <v>44</v>
      </c>
      <c r="D36" s="10" t="s">
        <v>124</v>
      </c>
      <c r="E36" s="10" t="s">
        <v>125</v>
      </c>
      <c r="F36" s="10" t="s">
        <v>47</v>
      </c>
      <c r="G36" s="10">
        <v>7500</v>
      </c>
      <c r="H36" s="10">
        <v>3600</v>
      </c>
      <c r="I36" s="10">
        <f t="shared" si="0"/>
        <v>11100</v>
      </c>
    </row>
    <row r="37" spans="1:9" x14ac:dyDescent="0.3">
      <c r="A37" s="10">
        <v>35</v>
      </c>
      <c r="B37" s="10" t="s">
        <v>369</v>
      </c>
      <c r="C37" s="10" t="s">
        <v>43</v>
      </c>
      <c r="D37" s="10" t="s">
        <v>44</v>
      </c>
      <c r="E37" s="10" t="s">
        <v>282</v>
      </c>
      <c r="F37" s="10" t="s">
        <v>47</v>
      </c>
      <c r="G37" s="10">
        <v>7500</v>
      </c>
      <c r="H37" s="10">
        <v>3600</v>
      </c>
      <c r="I37" s="10">
        <f t="shared" si="0"/>
        <v>11100</v>
      </c>
    </row>
    <row r="38" spans="1:9" x14ac:dyDescent="0.3">
      <c r="A38" s="10">
        <v>36</v>
      </c>
      <c r="B38" s="10" t="s">
        <v>369</v>
      </c>
      <c r="C38" s="10" t="s">
        <v>71</v>
      </c>
      <c r="D38" s="10" t="s">
        <v>44</v>
      </c>
      <c r="E38" s="10" t="s">
        <v>92</v>
      </c>
      <c r="F38" s="10" t="s">
        <v>47</v>
      </c>
      <c r="G38" s="10">
        <v>7500</v>
      </c>
      <c r="H38" s="10">
        <v>3600</v>
      </c>
      <c r="I38" s="10">
        <f t="shared" si="0"/>
        <v>11100</v>
      </c>
    </row>
    <row r="39" spans="1:9" x14ac:dyDescent="0.3">
      <c r="A39" s="10">
        <v>37</v>
      </c>
      <c r="B39" s="10" t="s">
        <v>369</v>
      </c>
      <c r="C39" s="10" t="s">
        <v>44</v>
      </c>
      <c r="D39" s="10" t="s">
        <v>357</v>
      </c>
      <c r="E39" s="10" t="s">
        <v>57</v>
      </c>
      <c r="F39" s="10" t="s">
        <v>47</v>
      </c>
      <c r="G39" s="10">
        <v>7500</v>
      </c>
      <c r="H39" s="10">
        <v>3600</v>
      </c>
      <c r="I39" s="10">
        <f t="shared" ref="I39:I43" si="1">+H39+G39</f>
        <v>11100</v>
      </c>
    </row>
    <row r="40" spans="1:9" x14ac:dyDescent="0.3">
      <c r="A40" s="10">
        <v>38</v>
      </c>
      <c r="B40" s="10" t="s">
        <v>369</v>
      </c>
      <c r="C40" s="10" t="s">
        <v>44</v>
      </c>
      <c r="D40" s="10" t="s">
        <v>357</v>
      </c>
      <c r="E40" s="10" t="s">
        <v>282</v>
      </c>
      <c r="F40" s="10" t="s">
        <v>47</v>
      </c>
      <c r="G40" s="10">
        <v>7500</v>
      </c>
      <c r="H40" s="10">
        <v>3600</v>
      </c>
      <c r="I40" s="10">
        <f t="shared" si="1"/>
        <v>11100</v>
      </c>
    </row>
    <row r="41" spans="1:9" x14ac:dyDescent="0.3">
      <c r="A41" s="10">
        <v>39</v>
      </c>
      <c r="B41" s="10" t="s">
        <v>369</v>
      </c>
      <c r="C41" s="10" t="s">
        <v>361</v>
      </c>
      <c r="D41" s="10" t="s">
        <v>44</v>
      </c>
      <c r="E41" s="10" t="s">
        <v>77</v>
      </c>
      <c r="F41" s="10" t="s">
        <v>46</v>
      </c>
      <c r="G41" s="10">
        <v>7500</v>
      </c>
      <c r="H41" s="10">
        <v>2400</v>
      </c>
      <c r="I41" s="10">
        <f t="shared" si="1"/>
        <v>9900</v>
      </c>
    </row>
    <row r="42" spans="1:9" x14ac:dyDescent="0.3">
      <c r="A42" s="10">
        <v>40</v>
      </c>
      <c r="B42" s="10" t="s">
        <v>369</v>
      </c>
      <c r="C42" s="10" t="s">
        <v>71</v>
      </c>
      <c r="D42" s="10" t="s">
        <v>44</v>
      </c>
      <c r="E42" s="10" t="s">
        <v>77</v>
      </c>
      <c r="F42" s="10" t="s">
        <v>47</v>
      </c>
      <c r="G42" s="10">
        <v>7500</v>
      </c>
      <c r="H42" s="10">
        <v>3600</v>
      </c>
      <c r="I42" s="10">
        <f t="shared" si="1"/>
        <v>11100</v>
      </c>
    </row>
    <row r="43" spans="1:9" x14ac:dyDescent="0.3">
      <c r="A43" s="10">
        <v>41</v>
      </c>
      <c r="B43" s="10" t="s">
        <v>370</v>
      </c>
      <c r="C43" s="10" t="s">
        <v>44</v>
      </c>
      <c r="D43" s="10" t="s">
        <v>71</v>
      </c>
      <c r="E43" s="10" t="s">
        <v>92</v>
      </c>
      <c r="F43" s="10" t="s">
        <v>47</v>
      </c>
      <c r="G43" s="10">
        <v>5800</v>
      </c>
      <c r="H43" s="10">
        <v>3600</v>
      </c>
      <c r="I43" s="10">
        <f t="shared" si="1"/>
        <v>9400</v>
      </c>
    </row>
    <row r="44" spans="1:9" x14ac:dyDescent="0.3">
      <c r="A44" s="10">
        <v>42</v>
      </c>
      <c r="B44" s="10" t="s">
        <v>370</v>
      </c>
      <c r="C44" s="10" t="s">
        <v>44</v>
      </c>
      <c r="D44" s="10" t="s">
        <v>357</v>
      </c>
      <c r="E44" s="10" t="s">
        <v>57</v>
      </c>
      <c r="F44" s="10" t="s">
        <v>47</v>
      </c>
      <c r="G44" s="10">
        <v>7500</v>
      </c>
      <c r="H44" s="10">
        <v>3600</v>
      </c>
      <c r="I44" s="10">
        <f t="shared" ref="I44:I48" si="2">+H44+G44</f>
        <v>11100</v>
      </c>
    </row>
    <row r="45" spans="1:9" x14ac:dyDescent="0.3">
      <c r="A45" s="10">
        <v>43</v>
      </c>
      <c r="B45" s="10" t="s">
        <v>370</v>
      </c>
      <c r="C45" s="10" t="s">
        <v>44</v>
      </c>
      <c r="D45" s="10" t="s">
        <v>357</v>
      </c>
      <c r="E45" s="10" t="s">
        <v>282</v>
      </c>
      <c r="F45" s="10" t="s">
        <v>47</v>
      </c>
      <c r="G45" s="10">
        <v>7500</v>
      </c>
      <c r="H45" s="10">
        <v>3600</v>
      </c>
      <c r="I45" s="10">
        <f t="shared" si="2"/>
        <v>11100</v>
      </c>
    </row>
    <row r="46" spans="1:9" x14ac:dyDescent="0.3">
      <c r="A46" s="10">
        <v>44</v>
      </c>
      <c r="B46" s="10" t="s">
        <v>370</v>
      </c>
      <c r="C46" s="10" t="s">
        <v>371</v>
      </c>
      <c r="D46" s="10" t="s">
        <v>44</v>
      </c>
      <c r="E46" s="10" t="s">
        <v>60</v>
      </c>
      <c r="F46" s="10" t="s">
        <v>63</v>
      </c>
      <c r="G46" s="10">
        <v>3500</v>
      </c>
      <c r="H46" s="10">
        <v>600</v>
      </c>
      <c r="I46" s="10">
        <f t="shared" si="2"/>
        <v>4100</v>
      </c>
    </row>
    <row r="47" spans="1:9" x14ac:dyDescent="0.3">
      <c r="A47" s="10">
        <v>45</v>
      </c>
      <c r="B47" s="10" t="s">
        <v>372</v>
      </c>
      <c r="C47" s="10" t="s">
        <v>43</v>
      </c>
      <c r="D47" s="10" t="s">
        <v>44</v>
      </c>
      <c r="E47" s="10" t="s">
        <v>57</v>
      </c>
      <c r="F47" s="10" t="s">
        <v>47</v>
      </c>
      <c r="G47" s="10">
        <v>7500</v>
      </c>
      <c r="H47" s="10">
        <v>3600</v>
      </c>
      <c r="I47" s="10">
        <f t="shared" si="2"/>
        <v>11100</v>
      </c>
    </row>
    <row r="48" spans="1:9" x14ac:dyDescent="0.3">
      <c r="A48" s="10">
        <v>46</v>
      </c>
      <c r="B48" s="10" t="s">
        <v>372</v>
      </c>
      <c r="C48" s="10" t="s">
        <v>71</v>
      </c>
      <c r="D48" s="64" t="s">
        <v>44</v>
      </c>
      <c r="E48" s="10" t="s">
        <v>92</v>
      </c>
      <c r="F48" s="10" t="s">
        <v>47</v>
      </c>
      <c r="G48" s="10">
        <v>7500</v>
      </c>
      <c r="H48" s="10">
        <v>3600</v>
      </c>
      <c r="I48" s="10">
        <f t="shared" si="2"/>
        <v>11100</v>
      </c>
    </row>
    <row r="49" spans="1:9" x14ac:dyDescent="0.3">
      <c r="A49" s="10">
        <v>47</v>
      </c>
      <c r="B49" s="10" t="s">
        <v>372</v>
      </c>
      <c r="C49" s="10" t="s">
        <v>373</v>
      </c>
      <c r="D49" s="64" t="s">
        <v>44</v>
      </c>
      <c r="E49" s="10" t="s">
        <v>282</v>
      </c>
      <c r="F49" s="10" t="s">
        <v>47</v>
      </c>
      <c r="G49" s="10">
        <v>6200</v>
      </c>
      <c r="H49" s="10">
        <v>3600</v>
      </c>
      <c r="I49" s="10">
        <f t="shared" ref="I49:I62" si="3">+H49+G49</f>
        <v>9800</v>
      </c>
    </row>
    <row r="50" spans="1:9" x14ac:dyDescent="0.3">
      <c r="A50" s="10">
        <v>48</v>
      </c>
      <c r="B50" s="10" t="s">
        <v>372</v>
      </c>
      <c r="C50" s="10" t="s">
        <v>44</v>
      </c>
      <c r="D50" s="64" t="s">
        <v>357</v>
      </c>
      <c r="E50" s="10" t="s">
        <v>57</v>
      </c>
      <c r="F50" s="10" t="s">
        <v>47</v>
      </c>
      <c r="G50" s="10">
        <v>7500</v>
      </c>
      <c r="H50" s="10">
        <v>3600</v>
      </c>
      <c r="I50" s="10">
        <f t="shared" si="3"/>
        <v>11100</v>
      </c>
    </row>
    <row r="51" spans="1:9" x14ac:dyDescent="0.3">
      <c r="A51" s="10">
        <v>49</v>
      </c>
      <c r="B51" s="10" t="s">
        <v>372</v>
      </c>
      <c r="C51" s="10" t="s">
        <v>44</v>
      </c>
      <c r="D51" s="64" t="s">
        <v>357</v>
      </c>
      <c r="E51" s="10" t="s">
        <v>282</v>
      </c>
      <c r="F51" s="10" t="s">
        <v>47</v>
      </c>
      <c r="G51" s="10">
        <v>7500</v>
      </c>
      <c r="H51" s="10">
        <v>3600</v>
      </c>
      <c r="I51" s="10">
        <f t="shared" si="3"/>
        <v>11100</v>
      </c>
    </row>
    <row r="52" spans="1:9" x14ac:dyDescent="0.3">
      <c r="A52" s="10">
        <v>50</v>
      </c>
      <c r="B52" s="10" t="s">
        <v>372</v>
      </c>
      <c r="C52" s="10" t="s">
        <v>65</v>
      </c>
      <c r="D52" s="64" t="s">
        <v>44</v>
      </c>
      <c r="E52" s="10" t="s">
        <v>77</v>
      </c>
      <c r="F52" s="10" t="s">
        <v>47</v>
      </c>
      <c r="G52" s="10">
        <v>6200</v>
      </c>
      <c r="H52" s="10">
        <v>3600</v>
      </c>
      <c r="I52" s="10">
        <f t="shared" si="3"/>
        <v>9800</v>
      </c>
    </row>
    <row r="53" spans="1:9" x14ac:dyDescent="0.3">
      <c r="A53" s="10">
        <v>51</v>
      </c>
      <c r="B53" s="10" t="s">
        <v>372</v>
      </c>
      <c r="C53" s="10" t="s">
        <v>44</v>
      </c>
      <c r="D53" s="64" t="s">
        <v>65</v>
      </c>
      <c r="E53" s="10" t="s">
        <v>60</v>
      </c>
      <c r="F53" s="10" t="s">
        <v>63</v>
      </c>
      <c r="G53" s="10">
        <v>3500</v>
      </c>
      <c r="H53" s="10">
        <v>600</v>
      </c>
      <c r="I53" s="10">
        <f t="shared" si="3"/>
        <v>4100</v>
      </c>
    </row>
    <row r="54" spans="1:9" x14ac:dyDescent="0.3">
      <c r="A54" s="10">
        <v>52</v>
      </c>
      <c r="B54" s="10" t="s">
        <v>374</v>
      </c>
      <c r="C54" s="10" t="s">
        <v>71</v>
      </c>
      <c r="D54" s="64" t="s">
        <v>44</v>
      </c>
      <c r="E54" s="10" t="s">
        <v>77</v>
      </c>
      <c r="F54" s="10" t="s">
        <v>47</v>
      </c>
      <c r="G54" s="10">
        <v>7500</v>
      </c>
      <c r="H54" s="10">
        <v>3600</v>
      </c>
      <c r="I54" s="10">
        <f t="shared" si="3"/>
        <v>11100</v>
      </c>
    </row>
    <row r="55" spans="1:9" x14ac:dyDescent="0.3">
      <c r="A55" s="10">
        <v>53</v>
      </c>
      <c r="B55" s="10" t="s">
        <v>374</v>
      </c>
      <c r="C55" s="10" t="s">
        <v>44</v>
      </c>
      <c r="D55" s="64" t="s">
        <v>357</v>
      </c>
      <c r="E55" s="10" t="s">
        <v>57</v>
      </c>
      <c r="F55" s="10" t="s">
        <v>47</v>
      </c>
      <c r="G55" s="10">
        <v>7500</v>
      </c>
      <c r="H55" s="10">
        <v>3600</v>
      </c>
      <c r="I55" s="10">
        <f t="shared" ref="I55:I60" si="4">+H55+G55</f>
        <v>11100</v>
      </c>
    </row>
    <row r="56" spans="1:9" x14ac:dyDescent="0.3">
      <c r="A56" s="10">
        <v>54</v>
      </c>
      <c r="B56" s="10" t="s">
        <v>374</v>
      </c>
      <c r="C56" s="10" t="s">
        <v>44</v>
      </c>
      <c r="D56" s="64" t="s">
        <v>357</v>
      </c>
      <c r="E56" s="10" t="s">
        <v>282</v>
      </c>
      <c r="F56" s="10" t="s">
        <v>47</v>
      </c>
      <c r="G56" s="10">
        <v>7500</v>
      </c>
      <c r="H56" s="10">
        <v>3600</v>
      </c>
      <c r="I56" s="10">
        <f t="shared" si="4"/>
        <v>11100</v>
      </c>
    </row>
    <row r="57" spans="1:9" x14ac:dyDescent="0.3">
      <c r="A57" s="10">
        <v>55</v>
      </c>
      <c r="B57" s="10" t="s">
        <v>374</v>
      </c>
      <c r="C57" s="10" t="s">
        <v>361</v>
      </c>
      <c r="D57" s="64" t="s">
        <v>44</v>
      </c>
      <c r="E57" s="10" t="s">
        <v>282</v>
      </c>
      <c r="F57" s="10" t="s">
        <v>47</v>
      </c>
      <c r="G57" s="10">
        <v>7500</v>
      </c>
      <c r="H57" s="10">
        <v>3600</v>
      </c>
      <c r="I57" s="10">
        <f t="shared" si="4"/>
        <v>11100</v>
      </c>
    </row>
    <row r="58" spans="1:9" x14ac:dyDescent="0.3">
      <c r="A58" s="10">
        <v>56</v>
      </c>
      <c r="B58" s="10" t="s">
        <v>375</v>
      </c>
      <c r="C58" s="10" t="s">
        <v>43</v>
      </c>
      <c r="D58" s="64" t="s">
        <v>44</v>
      </c>
      <c r="E58" s="10" t="s">
        <v>282</v>
      </c>
      <c r="F58" s="10" t="s">
        <v>47</v>
      </c>
      <c r="G58" s="10">
        <v>7500</v>
      </c>
      <c r="H58" s="10">
        <v>3600</v>
      </c>
      <c r="I58" s="10">
        <f t="shared" si="4"/>
        <v>11100</v>
      </c>
    </row>
    <row r="59" spans="1:9" x14ac:dyDescent="0.3">
      <c r="A59" s="10">
        <v>57</v>
      </c>
      <c r="B59" s="10" t="s">
        <v>375</v>
      </c>
      <c r="C59" s="10" t="s">
        <v>71</v>
      </c>
      <c r="D59" s="64" t="s">
        <v>44</v>
      </c>
      <c r="E59" s="10" t="s">
        <v>77</v>
      </c>
      <c r="F59" s="10" t="s">
        <v>47</v>
      </c>
      <c r="G59" s="10">
        <v>7500</v>
      </c>
      <c r="H59" s="10">
        <v>3600</v>
      </c>
      <c r="I59" s="10">
        <f t="shared" si="4"/>
        <v>11100</v>
      </c>
    </row>
    <row r="60" spans="1:9" x14ac:dyDescent="0.3">
      <c r="A60" s="10">
        <v>58</v>
      </c>
      <c r="B60" s="10" t="s">
        <v>375</v>
      </c>
      <c r="C60" s="10" t="s">
        <v>71</v>
      </c>
      <c r="D60" s="64" t="s">
        <v>44</v>
      </c>
      <c r="E60" s="10" t="s">
        <v>57</v>
      </c>
      <c r="F60" s="10" t="s">
        <v>47</v>
      </c>
      <c r="G60" s="10">
        <v>7500</v>
      </c>
      <c r="H60" s="10">
        <v>3600</v>
      </c>
      <c r="I60" s="10">
        <f t="shared" si="4"/>
        <v>11100</v>
      </c>
    </row>
    <row r="61" spans="1:9" x14ac:dyDescent="0.3">
      <c r="A61" s="10">
        <v>59</v>
      </c>
      <c r="B61" s="10" t="s">
        <v>375</v>
      </c>
      <c r="C61" s="10" t="s">
        <v>44</v>
      </c>
      <c r="D61" s="10" t="s">
        <v>357</v>
      </c>
      <c r="E61" s="10" t="s">
        <v>282</v>
      </c>
      <c r="F61" s="10" t="s">
        <v>47</v>
      </c>
      <c r="G61" s="10">
        <v>7500</v>
      </c>
      <c r="H61" s="10">
        <v>3600</v>
      </c>
      <c r="I61" s="10">
        <f t="shared" si="3"/>
        <v>11100</v>
      </c>
    </row>
    <row r="62" spans="1:9" x14ac:dyDescent="0.3">
      <c r="A62" s="10">
        <v>60</v>
      </c>
      <c r="B62" s="10" t="s">
        <v>375</v>
      </c>
      <c r="C62" s="10" t="s">
        <v>44</v>
      </c>
      <c r="D62" s="65" t="s">
        <v>357</v>
      </c>
      <c r="E62" s="11" t="s">
        <v>77</v>
      </c>
      <c r="F62" s="10" t="s">
        <v>47</v>
      </c>
      <c r="G62" s="10">
        <v>7500</v>
      </c>
      <c r="H62" s="10">
        <v>3600</v>
      </c>
      <c r="I62" s="10">
        <f t="shared" si="3"/>
        <v>11100</v>
      </c>
    </row>
    <row r="63" spans="1:9" x14ac:dyDescent="0.3">
      <c r="F63" s="28" t="s">
        <v>41</v>
      </c>
      <c r="G63" s="38">
        <f>SUM(G3:G62)</f>
        <v>409300</v>
      </c>
      <c r="H63" s="38">
        <f t="shared" ref="H63:I63" si="5">SUM(H3:H62)</f>
        <v>189700</v>
      </c>
      <c r="I63" s="38">
        <f t="shared" si="5"/>
        <v>599000</v>
      </c>
    </row>
    <row r="67" spans="1:9" x14ac:dyDescent="0.3">
      <c r="A67" s="8" t="s">
        <v>377</v>
      </c>
    </row>
    <row r="68" spans="1:9" ht="28.8" x14ac:dyDescent="0.3">
      <c r="A68" s="26" t="s">
        <v>25</v>
      </c>
      <c r="B68" s="26" t="s">
        <v>26</v>
      </c>
      <c r="C68" s="26" t="s">
        <v>27</v>
      </c>
      <c r="D68" s="26" t="s">
        <v>28</v>
      </c>
      <c r="E68" s="26" t="s">
        <v>30</v>
      </c>
      <c r="F68" s="27" t="s">
        <v>34</v>
      </c>
      <c r="G68" s="26" t="s">
        <v>35</v>
      </c>
      <c r="H68" s="26" t="s">
        <v>36</v>
      </c>
      <c r="I68" s="27" t="s">
        <v>37</v>
      </c>
    </row>
    <row r="69" spans="1:9" x14ac:dyDescent="0.3">
      <c r="A69" s="10">
        <v>6</v>
      </c>
      <c r="B69" s="10" t="s">
        <v>378</v>
      </c>
      <c r="C69" s="10" t="s">
        <v>44</v>
      </c>
      <c r="D69" s="10" t="s">
        <v>379</v>
      </c>
      <c r="E69" s="10" t="s">
        <v>77</v>
      </c>
      <c r="F69" s="10" t="s">
        <v>47</v>
      </c>
      <c r="G69" s="10">
        <v>6200</v>
      </c>
      <c r="H69" s="10">
        <v>3600</v>
      </c>
      <c r="I69" s="10">
        <f>+H69+G69</f>
        <v>9800</v>
      </c>
    </row>
    <row r="70" spans="1:9" x14ac:dyDescent="0.3">
      <c r="A70" s="10">
        <v>7</v>
      </c>
      <c r="B70" s="10" t="s">
        <v>378</v>
      </c>
      <c r="C70" s="10" t="s">
        <v>44</v>
      </c>
      <c r="D70" s="10" t="s">
        <v>380</v>
      </c>
      <c r="E70" s="10" t="s">
        <v>282</v>
      </c>
      <c r="F70" s="10" t="s">
        <v>47</v>
      </c>
      <c r="G70" s="10">
        <v>6200</v>
      </c>
      <c r="H70" s="10">
        <v>3600</v>
      </c>
      <c r="I70" s="10">
        <f t="shared" ref="I70:I109" si="6">+H70+G70</f>
        <v>9800</v>
      </c>
    </row>
    <row r="71" spans="1:9" x14ac:dyDescent="0.3">
      <c r="A71" s="10">
        <v>8</v>
      </c>
      <c r="B71" s="10" t="s">
        <v>378</v>
      </c>
      <c r="C71" s="10" t="s">
        <v>44</v>
      </c>
      <c r="D71" s="10" t="s">
        <v>71</v>
      </c>
      <c r="E71" s="10" t="s">
        <v>57</v>
      </c>
      <c r="F71" s="10" t="s">
        <v>47</v>
      </c>
      <c r="G71" s="10">
        <v>5800</v>
      </c>
      <c r="H71" s="10">
        <v>3600</v>
      </c>
      <c r="I71" s="10">
        <f t="shared" si="6"/>
        <v>9400</v>
      </c>
    </row>
    <row r="72" spans="1:9" x14ac:dyDescent="0.3">
      <c r="A72" s="10">
        <v>9</v>
      </c>
      <c r="B72" s="10" t="s">
        <v>378</v>
      </c>
      <c r="C72" s="10" t="s">
        <v>44</v>
      </c>
      <c r="D72" s="10" t="s">
        <v>124</v>
      </c>
      <c r="E72" s="10" t="s">
        <v>94</v>
      </c>
      <c r="F72" s="10" t="s">
        <v>63</v>
      </c>
      <c r="G72" s="10">
        <v>3500</v>
      </c>
      <c r="H72" s="10">
        <v>600</v>
      </c>
      <c r="I72" s="10">
        <f t="shared" si="6"/>
        <v>4100</v>
      </c>
    </row>
    <row r="73" spans="1:9" x14ac:dyDescent="0.3">
      <c r="A73" s="10">
        <v>10</v>
      </c>
      <c r="B73" s="10" t="s">
        <v>381</v>
      </c>
      <c r="C73" s="10" t="s">
        <v>43</v>
      </c>
      <c r="D73" s="10" t="s">
        <v>44</v>
      </c>
      <c r="E73" s="10" t="s">
        <v>77</v>
      </c>
      <c r="F73" s="10" t="s">
        <v>47</v>
      </c>
      <c r="G73" s="10">
        <v>7500</v>
      </c>
      <c r="H73" s="10">
        <v>3600</v>
      </c>
      <c r="I73" s="10">
        <f t="shared" si="6"/>
        <v>11100</v>
      </c>
    </row>
    <row r="74" spans="1:9" x14ac:dyDescent="0.3">
      <c r="A74" s="10">
        <v>11</v>
      </c>
      <c r="B74" s="10" t="s">
        <v>381</v>
      </c>
      <c r="C74" s="10" t="s">
        <v>71</v>
      </c>
      <c r="D74" s="10" t="s">
        <v>44</v>
      </c>
      <c r="E74" s="10" t="s">
        <v>282</v>
      </c>
      <c r="F74" s="10" t="s">
        <v>47</v>
      </c>
      <c r="G74" s="10">
        <v>7500</v>
      </c>
      <c r="H74" s="10">
        <v>3600</v>
      </c>
      <c r="I74" s="10">
        <f t="shared" si="6"/>
        <v>11100</v>
      </c>
    </row>
    <row r="75" spans="1:9" x14ac:dyDescent="0.3">
      <c r="A75" s="10">
        <v>12</v>
      </c>
      <c r="B75" s="10" t="s">
        <v>381</v>
      </c>
      <c r="C75" s="10" t="s">
        <v>71</v>
      </c>
      <c r="D75" s="10" t="s">
        <v>44</v>
      </c>
      <c r="E75" s="10" t="s">
        <v>57</v>
      </c>
      <c r="F75" s="10" t="s">
        <v>47</v>
      </c>
      <c r="G75" s="10">
        <v>7500</v>
      </c>
      <c r="H75" s="10">
        <v>3600</v>
      </c>
      <c r="I75" s="10">
        <f t="shared" si="6"/>
        <v>11100</v>
      </c>
    </row>
    <row r="76" spans="1:9" x14ac:dyDescent="0.3">
      <c r="A76" s="10">
        <v>13</v>
      </c>
      <c r="B76" s="10" t="s">
        <v>382</v>
      </c>
      <c r="C76" s="10" t="s">
        <v>43</v>
      </c>
      <c r="D76" s="10" t="s">
        <v>44</v>
      </c>
      <c r="E76" s="10" t="s">
        <v>282</v>
      </c>
      <c r="F76" s="10" t="s">
        <v>47</v>
      </c>
      <c r="G76" s="10">
        <v>7500</v>
      </c>
      <c r="H76" s="10">
        <v>3600</v>
      </c>
      <c r="I76" s="10">
        <f t="shared" si="6"/>
        <v>11100</v>
      </c>
    </row>
    <row r="77" spans="1:9" x14ac:dyDescent="0.3">
      <c r="A77" s="10">
        <v>14</v>
      </c>
      <c r="B77" s="10" t="s">
        <v>382</v>
      </c>
      <c r="C77" s="10" t="s">
        <v>44</v>
      </c>
      <c r="D77" s="10" t="s">
        <v>124</v>
      </c>
      <c r="E77" s="10" t="s">
        <v>92</v>
      </c>
      <c r="F77" s="10" t="s">
        <v>47</v>
      </c>
      <c r="G77" s="10">
        <v>5900</v>
      </c>
      <c r="H77" s="10">
        <v>3600</v>
      </c>
      <c r="I77" s="10">
        <f t="shared" si="6"/>
        <v>9500</v>
      </c>
    </row>
    <row r="78" spans="1:9" x14ac:dyDescent="0.3">
      <c r="A78" s="10">
        <v>15</v>
      </c>
      <c r="B78" s="10" t="s">
        <v>382</v>
      </c>
      <c r="C78" s="10" t="s">
        <v>44</v>
      </c>
      <c r="D78" s="10" t="s">
        <v>124</v>
      </c>
      <c r="E78" s="10" t="s">
        <v>77</v>
      </c>
      <c r="F78" s="10" t="s">
        <v>47</v>
      </c>
      <c r="G78" s="10">
        <v>5900</v>
      </c>
      <c r="H78" s="10">
        <v>3600</v>
      </c>
      <c r="I78" s="10">
        <f t="shared" si="6"/>
        <v>9500</v>
      </c>
    </row>
    <row r="79" spans="1:9" x14ac:dyDescent="0.3">
      <c r="A79" s="10">
        <v>16</v>
      </c>
      <c r="B79" s="10" t="s">
        <v>382</v>
      </c>
      <c r="C79" s="10" t="s">
        <v>44</v>
      </c>
      <c r="D79" s="10" t="s">
        <v>357</v>
      </c>
      <c r="E79" s="10" t="s">
        <v>282</v>
      </c>
      <c r="F79" s="10" t="s">
        <v>47</v>
      </c>
      <c r="G79" s="10">
        <v>7500</v>
      </c>
      <c r="H79" s="10">
        <v>3600</v>
      </c>
      <c r="I79" s="10">
        <f t="shared" si="6"/>
        <v>11100</v>
      </c>
    </row>
    <row r="80" spans="1:9" x14ac:dyDescent="0.3">
      <c r="A80" s="10">
        <v>17</v>
      </c>
      <c r="B80" s="10" t="s">
        <v>383</v>
      </c>
      <c r="C80" s="10" t="s">
        <v>44</v>
      </c>
      <c r="D80" s="10" t="s">
        <v>124</v>
      </c>
      <c r="E80" s="10" t="s">
        <v>60</v>
      </c>
      <c r="F80" s="10" t="s">
        <v>63</v>
      </c>
      <c r="G80" s="10">
        <v>3500</v>
      </c>
      <c r="H80" s="10">
        <v>600</v>
      </c>
      <c r="I80" s="10">
        <f t="shared" si="6"/>
        <v>4100</v>
      </c>
    </row>
    <row r="81" spans="1:9" x14ac:dyDescent="0.3">
      <c r="A81" s="10">
        <v>18</v>
      </c>
      <c r="B81" s="10" t="s">
        <v>384</v>
      </c>
      <c r="C81" s="10" t="s">
        <v>71</v>
      </c>
      <c r="D81" s="10" t="s">
        <v>44</v>
      </c>
      <c r="E81" s="10" t="s">
        <v>57</v>
      </c>
      <c r="F81" s="10" t="s">
        <v>47</v>
      </c>
      <c r="G81" s="10">
        <v>7500</v>
      </c>
      <c r="H81" s="10">
        <v>3600</v>
      </c>
      <c r="I81" s="10">
        <f t="shared" si="6"/>
        <v>11100</v>
      </c>
    </row>
    <row r="82" spans="1:9" x14ac:dyDescent="0.3">
      <c r="A82" s="10">
        <v>19</v>
      </c>
      <c r="B82" s="10" t="s">
        <v>384</v>
      </c>
      <c r="C82" s="10" t="s">
        <v>71</v>
      </c>
      <c r="D82" s="10" t="s">
        <v>44</v>
      </c>
      <c r="E82" s="10" t="s">
        <v>125</v>
      </c>
      <c r="F82" s="10" t="s">
        <v>47</v>
      </c>
      <c r="G82" s="10">
        <v>7500</v>
      </c>
      <c r="H82" s="10">
        <v>3600</v>
      </c>
      <c r="I82" s="10">
        <f t="shared" si="6"/>
        <v>11100</v>
      </c>
    </row>
    <row r="83" spans="1:9" x14ac:dyDescent="0.3">
      <c r="A83" s="10">
        <v>20</v>
      </c>
      <c r="B83" s="10" t="s">
        <v>384</v>
      </c>
      <c r="C83" s="10" t="s">
        <v>71</v>
      </c>
      <c r="D83" s="10" t="s">
        <v>44</v>
      </c>
      <c r="E83" s="10" t="s">
        <v>77</v>
      </c>
      <c r="F83" s="10" t="s">
        <v>47</v>
      </c>
      <c r="G83" s="10">
        <v>7500</v>
      </c>
      <c r="H83" s="10">
        <v>3600</v>
      </c>
      <c r="I83" s="10">
        <f t="shared" si="6"/>
        <v>11100</v>
      </c>
    </row>
    <row r="84" spans="1:9" x14ac:dyDescent="0.3">
      <c r="A84" s="10">
        <v>21</v>
      </c>
      <c r="B84" s="10" t="s">
        <v>384</v>
      </c>
      <c r="C84" s="10" t="s">
        <v>43</v>
      </c>
      <c r="D84" s="10" t="s">
        <v>44</v>
      </c>
      <c r="E84" s="10" t="s">
        <v>282</v>
      </c>
      <c r="F84" s="10" t="s">
        <v>47</v>
      </c>
      <c r="G84" s="10">
        <v>7500</v>
      </c>
      <c r="H84" s="10">
        <v>3600</v>
      </c>
      <c r="I84" s="10">
        <f t="shared" si="6"/>
        <v>11100</v>
      </c>
    </row>
    <row r="85" spans="1:9" x14ac:dyDescent="0.3">
      <c r="A85" s="10">
        <v>22</v>
      </c>
      <c r="B85" s="10" t="s">
        <v>384</v>
      </c>
      <c r="C85" s="10" t="s">
        <v>44</v>
      </c>
      <c r="D85" s="10" t="s">
        <v>124</v>
      </c>
      <c r="E85" s="10" t="s">
        <v>66</v>
      </c>
      <c r="F85" s="10" t="s">
        <v>63</v>
      </c>
      <c r="G85" s="10">
        <v>3500</v>
      </c>
      <c r="H85" s="10">
        <v>600</v>
      </c>
      <c r="I85" s="10">
        <f t="shared" si="6"/>
        <v>4100</v>
      </c>
    </row>
    <row r="86" spans="1:9" x14ac:dyDescent="0.3">
      <c r="A86" s="10">
        <v>23</v>
      </c>
      <c r="B86" s="10" t="s">
        <v>385</v>
      </c>
      <c r="C86" s="10" t="s">
        <v>71</v>
      </c>
      <c r="D86" s="10" t="s">
        <v>44</v>
      </c>
      <c r="E86" s="10" t="s">
        <v>282</v>
      </c>
      <c r="F86" s="10" t="s">
        <v>47</v>
      </c>
      <c r="G86" s="10">
        <v>7500</v>
      </c>
      <c r="H86" s="10">
        <v>3600</v>
      </c>
      <c r="I86" s="10">
        <f t="shared" si="6"/>
        <v>11100</v>
      </c>
    </row>
    <row r="87" spans="1:9" x14ac:dyDescent="0.3">
      <c r="A87" s="10">
        <v>24</v>
      </c>
      <c r="B87" s="10" t="s">
        <v>385</v>
      </c>
      <c r="C87" s="10" t="s">
        <v>357</v>
      </c>
      <c r="D87" s="10" t="s">
        <v>44</v>
      </c>
      <c r="E87" s="10" t="s">
        <v>57</v>
      </c>
      <c r="F87" s="10" t="s">
        <v>47</v>
      </c>
      <c r="G87" s="10">
        <v>7500</v>
      </c>
      <c r="H87" s="10">
        <v>3600</v>
      </c>
      <c r="I87" s="10">
        <f t="shared" si="6"/>
        <v>11100</v>
      </c>
    </row>
    <row r="88" spans="1:9" x14ac:dyDescent="0.3">
      <c r="A88" s="10">
        <v>25</v>
      </c>
      <c r="B88" s="10" t="s">
        <v>385</v>
      </c>
      <c r="C88" s="10" t="s">
        <v>44</v>
      </c>
      <c r="D88" s="10" t="s">
        <v>124</v>
      </c>
      <c r="E88" s="10" t="s">
        <v>77</v>
      </c>
      <c r="F88" s="10" t="s">
        <v>55</v>
      </c>
      <c r="G88" s="10">
        <v>4900</v>
      </c>
      <c r="H88" s="10">
        <v>1200</v>
      </c>
      <c r="I88" s="10">
        <f t="shared" si="6"/>
        <v>6100</v>
      </c>
    </row>
    <row r="89" spans="1:9" x14ac:dyDescent="0.3">
      <c r="A89" s="10">
        <v>26</v>
      </c>
      <c r="B89" s="10" t="s">
        <v>385</v>
      </c>
      <c r="C89" s="10" t="s">
        <v>43</v>
      </c>
      <c r="D89" s="10" t="s">
        <v>44</v>
      </c>
      <c r="E89" s="10" t="s">
        <v>77</v>
      </c>
      <c r="F89" s="10" t="s">
        <v>55</v>
      </c>
      <c r="G89" s="10">
        <v>6000</v>
      </c>
      <c r="H89" s="10">
        <v>1200</v>
      </c>
      <c r="I89" s="10">
        <f t="shared" si="6"/>
        <v>7200</v>
      </c>
    </row>
    <row r="90" spans="1:9" x14ac:dyDescent="0.3">
      <c r="A90" s="10">
        <v>27</v>
      </c>
      <c r="B90" s="10" t="s">
        <v>386</v>
      </c>
      <c r="C90" s="10" t="s">
        <v>71</v>
      </c>
      <c r="D90" s="10" t="s">
        <v>44</v>
      </c>
      <c r="E90" s="10" t="s">
        <v>57</v>
      </c>
      <c r="F90" s="10" t="s">
        <v>47</v>
      </c>
      <c r="G90" s="10">
        <v>7500</v>
      </c>
      <c r="H90" s="10">
        <v>3600</v>
      </c>
      <c r="I90" s="10">
        <f t="shared" si="6"/>
        <v>11100</v>
      </c>
    </row>
    <row r="91" spans="1:9" x14ac:dyDescent="0.3">
      <c r="A91" s="10">
        <v>28</v>
      </c>
      <c r="B91" s="10" t="s">
        <v>386</v>
      </c>
      <c r="C91" s="10" t="s">
        <v>71</v>
      </c>
      <c r="D91" s="10" t="s">
        <v>357</v>
      </c>
      <c r="E91" s="10" t="s">
        <v>282</v>
      </c>
      <c r="F91" s="10" t="s">
        <v>47</v>
      </c>
      <c r="G91" s="10">
        <v>5900</v>
      </c>
      <c r="H91" s="10">
        <v>3600</v>
      </c>
      <c r="I91" s="10">
        <f t="shared" si="6"/>
        <v>9500</v>
      </c>
    </row>
    <row r="92" spans="1:9" x14ac:dyDescent="0.3">
      <c r="A92" s="10">
        <v>29</v>
      </c>
      <c r="B92" s="10" t="s">
        <v>386</v>
      </c>
      <c r="C92" s="10" t="s">
        <v>357</v>
      </c>
      <c r="D92" s="10" t="s">
        <v>44</v>
      </c>
      <c r="E92" s="10" t="s">
        <v>282</v>
      </c>
      <c r="F92" s="10" t="s">
        <v>47</v>
      </c>
      <c r="G92" s="10">
        <v>7500</v>
      </c>
      <c r="H92" s="10">
        <v>3600</v>
      </c>
      <c r="I92" s="10">
        <f t="shared" si="6"/>
        <v>11100</v>
      </c>
    </row>
    <row r="93" spans="1:9" x14ac:dyDescent="0.3">
      <c r="A93" s="10">
        <v>30</v>
      </c>
      <c r="B93" s="10" t="s">
        <v>386</v>
      </c>
      <c r="C93" s="10" t="s">
        <v>44</v>
      </c>
      <c r="D93" s="10" t="s">
        <v>124</v>
      </c>
      <c r="E93" s="10" t="s">
        <v>77</v>
      </c>
      <c r="F93" s="10" t="s">
        <v>47</v>
      </c>
      <c r="G93" s="10">
        <v>5900</v>
      </c>
      <c r="H93" s="10">
        <v>3600</v>
      </c>
      <c r="I93" s="10">
        <f t="shared" si="6"/>
        <v>9500</v>
      </c>
    </row>
    <row r="94" spans="1:9" x14ac:dyDescent="0.3">
      <c r="A94" s="10">
        <v>31</v>
      </c>
      <c r="B94" s="10" t="s">
        <v>386</v>
      </c>
      <c r="C94" s="10" t="s">
        <v>44</v>
      </c>
      <c r="D94" s="10" t="s">
        <v>124</v>
      </c>
      <c r="E94" s="10" t="s">
        <v>94</v>
      </c>
      <c r="F94" s="10" t="s">
        <v>63</v>
      </c>
      <c r="G94" s="10">
        <v>3500</v>
      </c>
      <c r="H94" s="10">
        <v>600</v>
      </c>
      <c r="I94" s="10">
        <f t="shared" si="6"/>
        <v>4100</v>
      </c>
    </row>
    <row r="95" spans="1:9" x14ac:dyDescent="0.3">
      <c r="A95" s="10">
        <v>32</v>
      </c>
      <c r="B95" s="10" t="s">
        <v>387</v>
      </c>
      <c r="C95" s="10" t="s">
        <v>43</v>
      </c>
      <c r="D95" s="10" t="s">
        <v>44</v>
      </c>
      <c r="E95" s="10" t="s">
        <v>77</v>
      </c>
      <c r="F95" s="10" t="s">
        <v>47</v>
      </c>
      <c r="G95" s="10">
        <v>7500</v>
      </c>
      <c r="H95" s="10">
        <v>3600</v>
      </c>
      <c r="I95" s="10">
        <f t="shared" si="6"/>
        <v>11100</v>
      </c>
    </row>
    <row r="96" spans="1:9" x14ac:dyDescent="0.3">
      <c r="A96" s="10">
        <v>33</v>
      </c>
      <c r="B96" s="10" t="s">
        <v>387</v>
      </c>
      <c r="C96" s="10" t="s">
        <v>71</v>
      </c>
      <c r="D96" s="10" t="s">
        <v>44</v>
      </c>
      <c r="E96" s="10" t="s">
        <v>57</v>
      </c>
      <c r="F96" s="10" t="s">
        <v>47</v>
      </c>
      <c r="G96" s="10">
        <v>7500</v>
      </c>
      <c r="H96" s="10">
        <v>3600</v>
      </c>
      <c r="I96" s="10">
        <f t="shared" si="6"/>
        <v>11100</v>
      </c>
    </row>
    <row r="97" spans="1:9" x14ac:dyDescent="0.3">
      <c r="A97" s="10">
        <v>34</v>
      </c>
      <c r="B97" s="10" t="s">
        <v>387</v>
      </c>
      <c r="C97" s="10" t="s">
        <v>44</v>
      </c>
      <c r="D97" s="10" t="s">
        <v>124</v>
      </c>
      <c r="E97" s="10" t="s">
        <v>60</v>
      </c>
      <c r="F97" s="10" t="s">
        <v>55</v>
      </c>
      <c r="G97" s="10">
        <v>4900</v>
      </c>
      <c r="H97" s="10">
        <v>1200</v>
      </c>
      <c r="I97" s="10">
        <f t="shared" si="6"/>
        <v>6100</v>
      </c>
    </row>
    <row r="98" spans="1:9" x14ac:dyDescent="0.3">
      <c r="A98" s="10">
        <v>35</v>
      </c>
      <c r="B98" s="10" t="s">
        <v>388</v>
      </c>
      <c r="C98" s="10" t="s">
        <v>43</v>
      </c>
      <c r="D98" s="10" t="s">
        <v>44</v>
      </c>
      <c r="E98" s="10" t="s">
        <v>282</v>
      </c>
      <c r="F98" s="10" t="s">
        <v>47</v>
      </c>
      <c r="G98" s="10">
        <v>7500</v>
      </c>
      <c r="H98" s="10">
        <v>3600</v>
      </c>
      <c r="I98" s="10">
        <f t="shared" si="6"/>
        <v>11100</v>
      </c>
    </row>
    <row r="99" spans="1:9" x14ac:dyDescent="0.3">
      <c r="A99" s="10">
        <v>36</v>
      </c>
      <c r="B99" s="10" t="s">
        <v>388</v>
      </c>
      <c r="C99" s="10" t="s">
        <v>71</v>
      </c>
      <c r="D99" s="10" t="s">
        <v>44</v>
      </c>
      <c r="E99" s="10" t="s">
        <v>77</v>
      </c>
      <c r="F99" s="10" t="s">
        <v>47</v>
      </c>
      <c r="G99" s="10">
        <v>7500</v>
      </c>
      <c r="H99" s="10">
        <v>3600</v>
      </c>
      <c r="I99" s="10">
        <f t="shared" si="6"/>
        <v>11100</v>
      </c>
    </row>
    <row r="100" spans="1:9" x14ac:dyDescent="0.3">
      <c r="A100" s="10">
        <v>37</v>
      </c>
      <c r="B100" s="10" t="s">
        <v>388</v>
      </c>
      <c r="C100" s="10" t="s">
        <v>357</v>
      </c>
      <c r="D100" s="10" t="s">
        <v>44</v>
      </c>
      <c r="E100" s="10" t="s">
        <v>57</v>
      </c>
      <c r="F100" s="10" t="s">
        <v>47</v>
      </c>
      <c r="G100" s="10">
        <v>7500</v>
      </c>
      <c r="H100" s="10">
        <v>3600</v>
      </c>
      <c r="I100" s="10">
        <f t="shared" si="6"/>
        <v>11100</v>
      </c>
    </row>
    <row r="101" spans="1:9" x14ac:dyDescent="0.3">
      <c r="A101" s="10">
        <v>38</v>
      </c>
      <c r="B101" s="10" t="s">
        <v>388</v>
      </c>
      <c r="C101" s="10" t="s">
        <v>389</v>
      </c>
      <c r="D101" s="10" t="s">
        <v>393</v>
      </c>
      <c r="E101" s="10" t="s">
        <v>60</v>
      </c>
      <c r="F101" s="10" t="s">
        <v>61</v>
      </c>
      <c r="G101" s="10">
        <f>5000+1500</f>
        <v>6500</v>
      </c>
      <c r="H101" s="10">
        <v>1200</v>
      </c>
      <c r="I101" s="10">
        <f t="shared" si="6"/>
        <v>7700</v>
      </c>
    </row>
    <row r="102" spans="1:9" x14ac:dyDescent="0.3">
      <c r="A102" s="10">
        <v>39</v>
      </c>
      <c r="B102" s="10" t="s">
        <v>390</v>
      </c>
      <c r="C102" s="10" t="s">
        <v>44</v>
      </c>
      <c r="D102" s="10" t="s">
        <v>124</v>
      </c>
      <c r="E102" s="10" t="s">
        <v>282</v>
      </c>
      <c r="F102" s="10" t="s">
        <v>47</v>
      </c>
      <c r="G102" s="10">
        <v>5900</v>
      </c>
      <c r="H102" s="10">
        <v>3600</v>
      </c>
      <c r="I102" s="10">
        <f t="shared" si="6"/>
        <v>9500</v>
      </c>
    </row>
    <row r="103" spans="1:9" x14ac:dyDescent="0.3">
      <c r="A103" s="10">
        <v>40</v>
      </c>
      <c r="B103" s="10" t="s">
        <v>390</v>
      </c>
      <c r="C103" s="10" t="s">
        <v>44</v>
      </c>
      <c r="D103" s="10" t="s">
        <v>124</v>
      </c>
      <c r="E103" s="10" t="s">
        <v>77</v>
      </c>
      <c r="F103" s="10" t="s">
        <v>47</v>
      </c>
      <c r="G103" s="10">
        <v>5900</v>
      </c>
      <c r="H103" s="10">
        <v>3600</v>
      </c>
      <c r="I103" s="10">
        <f t="shared" si="6"/>
        <v>9500</v>
      </c>
    </row>
    <row r="104" spans="1:9" x14ac:dyDescent="0.3">
      <c r="A104" s="10">
        <v>41</v>
      </c>
      <c r="B104" s="10" t="s">
        <v>390</v>
      </c>
      <c r="C104" s="10" t="s">
        <v>71</v>
      </c>
      <c r="D104" s="10" t="s">
        <v>357</v>
      </c>
      <c r="E104" s="10" t="s">
        <v>57</v>
      </c>
      <c r="F104" s="10" t="s">
        <v>47</v>
      </c>
      <c r="G104" s="10">
        <v>5800</v>
      </c>
      <c r="H104" s="10">
        <v>3600</v>
      </c>
      <c r="I104" s="10">
        <f t="shared" si="6"/>
        <v>9400</v>
      </c>
    </row>
    <row r="105" spans="1:9" x14ac:dyDescent="0.3">
      <c r="A105" s="10">
        <v>42</v>
      </c>
      <c r="B105" s="10" t="s">
        <v>390</v>
      </c>
      <c r="C105" s="10" t="s">
        <v>98</v>
      </c>
      <c r="D105" s="10" t="s">
        <v>44</v>
      </c>
      <c r="E105" s="10" t="s">
        <v>60</v>
      </c>
      <c r="F105" s="10" t="s">
        <v>61</v>
      </c>
      <c r="G105" s="10">
        <v>3500</v>
      </c>
      <c r="H105" s="10">
        <v>1200</v>
      </c>
      <c r="I105" s="10">
        <f t="shared" si="6"/>
        <v>4700</v>
      </c>
    </row>
    <row r="106" spans="1:9" x14ac:dyDescent="0.3">
      <c r="A106" s="10">
        <v>43</v>
      </c>
      <c r="B106" s="10" t="s">
        <v>390</v>
      </c>
      <c r="C106" s="10" t="s">
        <v>44</v>
      </c>
      <c r="D106" s="10" t="s">
        <v>71</v>
      </c>
      <c r="E106" s="10" t="s">
        <v>60</v>
      </c>
      <c r="F106" s="10" t="s">
        <v>61</v>
      </c>
      <c r="G106" s="10">
        <v>4800</v>
      </c>
      <c r="H106" s="10">
        <v>1200</v>
      </c>
      <c r="I106" s="10">
        <f t="shared" si="6"/>
        <v>6000</v>
      </c>
    </row>
    <row r="107" spans="1:9" x14ac:dyDescent="0.3">
      <c r="A107" s="10">
        <v>44</v>
      </c>
      <c r="B107" s="10" t="s">
        <v>391</v>
      </c>
      <c r="C107" s="10" t="s">
        <v>71</v>
      </c>
      <c r="D107" s="10" t="s">
        <v>44</v>
      </c>
      <c r="E107" s="10" t="s">
        <v>77</v>
      </c>
      <c r="F107" s="10" t="s">
        <v>47</v>
      </c>
      <c r="G107" s="10">
        <v>7500</v>
      </c>
      <c r="H107" s="10">
        <v>3600</v>
      </c>
      <c r="I107" s="10">
        <f t="shared" si="6"/>
        <v>11100</v>
      </c>
    </row>
    <row r="108" spans="1:9" x14ac:dyDescent="0.3">
      <c r="A108" s="10">
        <v>45</v>
      </c>
      <c r="B108" s="10" t="s">
        <v>391</v>
      </c>
      <c r="C108" s="10" t="s">
        <v>65</v>
      </c>
      <c r="D108" s="10" t="s">
        <v>392</v>
      </c>
      <c r="E108" s="10" t="s">
        <v>94</v>
      </c>
      <c r="F108" s="10" t="s">
        <v>63</v>
      </c>
      <c r="G108" s="10">
        <f>4200+1500</f>
        <v>5700</v>
      </c>
      <c r="H108" s="10">
        <v>1200</v>
      </c>
      <c r="I108" s="10">
        <f t="shared" si="6"/>
        <v>6900</v>
      </c>
    </row>
    <row r="109" spans="1:9" x14ac:dyDescent="0.3">
      <c r="A109" s="11">
        <v>46</v>
      </c>
      <c r="B109" s="10" t="s">
        <v>391</v>
      </c>
      <c r="C109" s="11" t="s">
        <v>71</v>
      </c>
      <c r="D109" s="11" t="s">
        <v>357</v>
      </c>
      <c r="E109" s="11" t="s">
        <v>60</v>
      </c>
      <c r="F109" s="11" t="s">
        <v>55</v>
      </c>
      <c r="G109" s="39">
        <v>4900</v>
      </c>
      <c r="H109" s="39">
        <v>1200</v>
      </c>
      <c r="I109" s="10">
        <f t="shared" si="6"/>
        <v>6100</v>
      </c>
    </row>
    <row r="110" spans="1:9" x14ac:dyDescent="0.3">
      <c r="F110" s="28" t="s">
        <v>41</v>
      </c>
      <c r="G110" s="38">
        <f>SUM(G69:G109)</f>
        <v>257100</v>
      </c>
      <c r="H110" s="38">
        <f t="shared" ref="H110:I110" si="7">SUM(H69:H109)</f>
        <v>116400</v>
      </c>
      <c r="I110" s="38">
        <f t="shared" si="7"/>
        <v>373500</v>
      </c>
    </row>
    <row r="112" spans="1:9" x14ac:dyDescent="0.3">
      <c r="G112" s="8">
        <f>+G110+G63</f>
        <v>666400</v>
      </c>
      <c r="H112" s="8">
        <f>+H110+H63</f>
        <v>306100</v>
      </c>
      <c r="I112" s="8">
        <f>+I110+I63</f>
        <v>972500</v>
      </c>
    </row>
    <row r="114" spans="7:9" x14ac:dyDescent="0.3">
      <c r="G114" s="8"/>
      <c r="H114" s="8"/>
      <c r="I114" s="8"/>
    </row>
  </sheetData>
  <autoFilter ref="A2:I63" xr:uid="{04AF77B2-480B-450F-B17C-E028B928FD9A}"/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9D4E-CC4C-4F64-9012-F8A6D7BD2636}">
  <sheetPr>
    <pageSetUpPr fitToPage="1"/>
  </sheetPr>
  <dimension ref="A1:I109"/>
  <sheetViews>
    <sheetView showGridLines="0" topLeftCell="A5" zoomScale="102" zoomScaleNormal="160" workbookViewId="0">
      <selection activeCell="F30" sqref="F30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9" x14ac:dyDescent="0.3">
      <c r="A1" s="8" t="s">
        <v>398</v>
      </c>
    </row>
    <row r="2" spans="1:9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399</v>
      </c>
      <c r="C3" s="10" t="s">
        <v>43</v>
      </c>
      <c r="D3" s="10" t="s">
        <v>44</v>
      </c>
      <c r="E3" s="10" t="s">
        <v>282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9" x14ac:dyDescent="0.3">
      <c r="A4" s="10">
        <v>2</v>
      </c>
      <c r="B4" s="10" t="s">
        <v>399</v>
      </c>
      <c r="C4" s="10" t="s">
        <v>43</v>
      </c>
      <c r="D4" s="10" t="s">
        <v>44</v>
      </c>
      <c r="E4" s="10" t="s">
        <v>77</v>
      </c>
      <c r="F4" s="10" t="s">
        <v>47</v>
      </c>
      <c r="G4" s="10">
        <v>7500</v>
      </c>
      <c r="H4" s="10">
        <v>3600</v>
      </c>
      <c r="I4" s="10">
        <f t="shared" ref="I4:I29" si="0">+H4+G4</f>
        <v>11100</v>
      </c>
    </row>
    <row r="5" spans="1:9" x14ac:dyDescent="0.3">
      <c r="A5" s="10">
        <v>3</v>
      </c>
      <c r="B5" s="10" t="s">
        <v>400</v>
      </c>
      <c r="C5" s="10" t="s">
        <v>71</v>
      </c>
      <c r="D5" s="10" t="s">
        <v>44</v>
      </c>
      <c r="E5" s="10" t="s">
        <v>77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9" x14ac:dyDescent="0.3">
      <c r="A6" s="10">
        <v>4</v>
      </c>
      <c r="B6" s="10" t="s">
        <v>400</v>
      </c>
      <c r="C6" s="10" t="s">
        <v>361</v>
      </c>
      <c r="D6" s="10" t="s">
        <v>44</v>
      </c>
      <c r="E6" s="10" t="s">
        <v>282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9" x14ac:dyDescent="0.3">
      <c r="A7" s="10">
        <v>5</v>
      </c>
      <c r="B7" s="10" t="s">
        <v>401</v>
      </c>
      <c r="C7" s="10" t="s">
        <v>361</v>
      </c>
      <c r="D7" s="10" t="s">
        <v>44</v>
      </c>
      <c r="E7" s="10" t="s">
        <v>77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9" x14ac:dyDescent="0.3">
      <c r="A8" s="10">
        <v>6</v>
      </c>
      <c r="B8" s="10" t="s">
        <v>401</v>
      </c>
      <c r="C8" s="10" t="s">
        <v>44</v>
      </c>
      <c r="D8" s="10" t="s">
        <v>124</v>
      </c>
      <c r="E8" s="10" t="s">
        <v>282</v>
      </c>
      <c r="F8" s="10" t="s">
        <v>47</v>
      </c>
      <c r="G8" s="10">
        <v>5900</v>
      </c>
      <c r="H8" s="10">
        <v>3600</v>
      </c>
      <c r="I8" s="10">
        <f t="shared" si="0"/>
        <v>9500</v>
      </c>
    </row>
    <row r="9" spans="1:9" x14ac:dyDescent="0.3">
      <c r="A9" s="10">
        <v>7</v>
      </c>
      <c r="B9" s="10" t="s">
        <v>401</v>
      </c>
      <c r="C9" s="10" t="s">
        <v>98</v>
      </c>
      <c r="D9" s="10" t="s">
        <v>44</v>
      </c>
      <c r="E9" s="10" t="s">
        <v>94</v>
      </c>
      <c r="F9" s="10" t="s">
        <v>63</v>
      </c>
      <c r="G9" s="10">
        <v>3500</v>
      </c>
      <c r="H9" s="10">
        <v>600</v>
      </c>
      <c r="I9" s="10">
        <f t="shared" si="0"/>
        <v>4100</v>
      </c>
    </row>
    <row r="10" spans="1:9" x14ac:dyDescent="0.3">
      <c r="A10" s="10">
        <v>8</v>
      </c>
      <c r="B10" s="10" t="s">
        <v>402</v>
      </c>
      <c r="C10" s="10" t="s">
        <v>71</v>
      </c>
      <c r="D10" s="10" t="s">
        <v>44</v>
      </c>
      <c r="E10" s="10" t="s">
        <v>57</v>
      </c>
      <c r="F10" s="10" t="s">
        <v>47</v>
      </c>
      <c r="G10" s="10">
        <v>7500</v>
      </c>
      <c r="H10" s="10">
        <v>3600</v>
      </c>
      <c r="I10" s="10">
        <f t="shared" si="0"/>
        <v>11100</v>
      </c>
    </row>
    <row r="11" spans="1:9" x14ac:dyDescent="0.3">
      <c r="A11" s="10">
        <v>9</v>
      </c>
      <c r="B11" s="10" t="s">
        <v>402</v>
      </c>
      <c r="C11" s="10" t="s">
        <v>43</v>
      </c>
      <c r="D11" s="10" t="s">
        <v>44</v>
      </c>
      <c r="E11" s="10" t="s">
        <v>77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9" x14ac:dyDescent="0.3">
      <c r="A12" s="10">
        <v>10</v>
      </c>
      <c r="B12" s="10" t="s">
        <v>403</v>
      </c>
      <c r="C12" s="10" t="s">
        <v>44</v>
      </c>
      <c r="D12" s="10" t="s">
        <v>124</v>
      </c>
      <c r="E12" s="10" t="s">
        <v>77</v>
      </c>
      <c r="F12" s="10" t="s">
        <v>47</v>
      </c>
      <c r="G12" s="10">
        <v>5900</v>
      </c>
      <c r="H12" s="10">
        <v>3600</v>
      </c>
      <c r="I12" s="10">
        <f t="shared" si="0"/>
        <v>9500</v>
      </c>
    </row>
    <row r="13" spans="1:9" x14ac:dyDescent="0.3">
      <c r="A13" s="10">
        <v>11</v>
      </c>
      <c r="B13" s="10" t="s">
        <v>403</v>
      </c>
      <c r="C13" s="10" t="s">
        <v>44</v>
      </c>
      <c r="D13" s="10" t="s">
        <v>124</v>
      </c>
      <c r="E13" s="10" t="s">
        <v>60</v>
      </c>
      <c r="F13" s="10" t="s">
        <v>63</v>
      </c>
      <c r="G13" s="10">
        <v>3500</v>
      </c>
      <c r="H13" s="10">
        <v>600</v>
      </c>
      <c r="I13" s="10">
        <f t="shared" si="0"/>
        <v>4100</v>
      </c>
    </row>
    <row r="14" spans="1:9" x14ac:dyDescent="0.3">
      <c r="A14" s="10">
        <v>12</v>
      </c>
      <c r="B14" s="10" t="s">
        <v>404</v>
      </c>
      <c r="C14" s="10" t="s">
        <v>44</v>
      </c>
      <c r="D14" s="10" t="s">
        <v>189</v>
      </c>
      <c r="E14" s="10" t="s">
        <v>77</v>
      </c>
      <c r="F14" s="10" t="s">
        <v>47</v>
      </c>
      <c r="G14" s="10">
        <v>9000</v>
      </c>
      <c r="H14" s="10">
        <v>3600</v>
      </c>
      <c r="I14" s="10">
        <f t="shared" si="0"/>
        <v>12600</v>
      </c>
    </row>
    <row r="15" spans="1:9" x14ac:dyDescent="0.3">
      <c r="A15" s="10">
        <v>13</v>
      </c>
      <c r="B15" s="10" t="s">
        <v>404</v>
      </c>
      <c r="C15" s="10" t="s">
        <v>44</v>
      </c>
      <c r="D15" s="10" t="s">
        <v>189</v>
      </c>
      <c r="E15" s="10" t="s">
        <v>282</v>
      </c>
      <c r="F15" s="10" t="s">
        <v>47</v>
      </c>
      <c r="G15" s="10">
        <v>9000</v>
      </c>
      <c r="H15" s="10">
        <v>3600</v>
      </c>
      <c r="I15" s="10">
        <f t="shared" si="0"/>
        <v>12600</v>
      </c>
    </row>
    <row r="16" spans="1:9" x14ac:dyDescent="0.3">
      <c r="A16" s="10">
        <v>14</v>
      </c>
      <c r="B16" s="10" t="s">
        <v>404</v>
      </c>
      <c r="C16" s="10" t="s">
        <v>43</v>
      </c>
      <c r="D16" s="10" t="s">
        <v>44</v>
      </c>
      <c r="E16" s="10" t="s">
        <v>57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404</v>
      </c>
      <c r="C17" s="10" t="s">
        <v>71</v>
      </c>
      <c r="D17" s="10" t="s">
        <v>44</v>
      </c>
      <c r="E17" s="10" t="s">
        <v>405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10" t="s">
        <v>404</v>
      </c>
      <c r="C18" s="10" t="s">
        <v>44</v>
      </c>
      <c r="D18" s="10" t="s">
        <v>124</v>
      </c>
      <c r="E18" s="10" t="s">
        <v>66</v>
      </c>
      <c r="F18" s="10" t="s">
        <v>61</v>
      </c>
      <c r="G18" s="10">
        <v>4900</v>
      </c>
      <c r="H18" s="10">
        <v>1200</v>
      </c>
      <c r="I18" s="10">
        <f t="shared" si="0"/>
        <v>6100</v>
      </c>
    </row>
    <row r="19" spans="1:9" x14ac:dyDescent="0.3">
      <c r="A19" s="10">
        <v>17</v>
      </c>
      <c r="B19" s="10" t="s">
        <v>406</v>
      </c>
      <c r="C19" s="10" t="s">
        <v>43</v>
      </c>
      <c r="D19" s="10" t="s">
        <v>44</v>
      </c>
      <c r="E19" s="10" t="s">
        <v>77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10" t="s">
        <v>406</v>
      </c>
      <c r="C20" s="10" t="s">
        <v>71</v>
      </c>
      <c r="D20" s="10" t="s">
        <v>44</v>
      </c>
      <c r="E20" s="10" t="s">
        <v>57</v>
      </c>
      <c r="F20" s="10" t="s">
        <v>47</v>
      </c>
      <c r="G20" s="10">
        <v>7500</v>
      </c>
      <c r="H20" s="10">
        <v>3600</v>
      </c>
      <c r="I20" s="10">
        <f t="shared" si="0"/>
        <v>11100</v>
      </c>
    </row>
    <row r="21" spans="1:9" x14ac:dyDescent="0.3">
      <c r="A21" s="10">
        <v>19</v>
      </c>
      <c r="B21" s="10" t="s">
        <v>406</v>
      </c>
      <c r="C21" s="10" t="s">
        <v>71</v>
      </c>
      <c r="D21" s="10" t="s">
        <v>44</v>
      </c>
      <c r="E21" s="10" t="s">
        <v>282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10" t="s">
        <v>406</v>
      </c>
      <c r="C22" s="10" t="s">
        <v>44</v>
      </c>
      <c r="D22" s="10" t="s">
        <v>124</v>
      </c>
      <c r="E22" s="10" t="s">
        <v>66</v>
      </c>
      <c r="F22" s="10" t="s">
        <v>61</v>
      </c>
      <c r="G22" s="10">
        <v>4900</v>
      </c>
      <c r="H22" s="10">
        <v>1200</v>
      </c>
      <c r="I22" s="10">
        <f t="shared" si="0"/>
        <v>6100</v>
      </c>
    </row>
    <row r="23" spans="1:9" x14ac:dyDescent="0.3">
      <c r="A23" s="10">
        <v>21</v>
      </c>
      <c r="B23" s="10" t="s">
        <v>407</v>
      </c>
      <c r="C23" s="10" t="s">
        <v>71</v>
      </c>
      <c r="D23" s="10" t="s">
        <v>44</v>
      </c>
      <c r="E23" s="10" t="s">
        <v>125</v>
      </c>
      <c r="F23" s="10" t="s">
        <v>47</v>
      </c>
      <c r="G23" s="10">
        <v>7500</v>
      </c>
      <c r="H23" s="10">
        <v>3600</v>
      </c>
      <c r="I23" s="10">
        <f>+H23+G23</f>
        <v>11100</v>
      </c>
    </row>
    <row r="24" spans="1:9" x14ac:dyDescent="0.3">
      <c r="A24" s="10">
        <v>22</v>
      </c>
      <c r="B24" s="10" t="s">
        <v>407</v>
      </c>
      <c r="C24" s="10" t="s">
        <v>71</v>
      </c>
      <c r="D24" s="10" t="s">
        <v>44</v>
      </c>
      <c r="E24" s="10" t="s">
        <v>57</v>
      </c>
      <c r="F24" s="10" t="s">
        <v>46</v>
      </c>
      <c r="G24" s="10">
        <v>7500</v>
      </c>
      <c r="H24" s="10">
        <v>2400</v>
      </c>
      <c r="I24" s="10">
        <f t="shared" si="0"/>
        <v>9900</v>
      </c>
    </row>
    <row r="25" spans="1:9" x14ac:dyDescent="0.3">
      <c r="A25" s="10">
        <v>23</v>
      </c>
      <c r="B25" s="10" t="s">
        <v>407</v>
      </c>
      <c r="C25" s="10" t="s">
        <v>361</v>
      </c>
      <c r="D25" s="10" t="s">
        <v>71</v>
      </c>
      <c r="E25" s="10" t="s">
        <v>282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407</v>
      </c>
      <c r="C26" s="10" t="s">
        <v>44</v>
      </c>
      <c r="D26" s="10" t="s">
        <v>65</v>
      </c>
      <c r="E26" s="10" t="s">
        <v>77</v>
      </c>
      <c r="F26" s="10" t="s">
        <v>55</v>
      </c>
      <c r="G26" s="10">
        <v>5000</v>
      </c>
      <c r="H26" s="10">
        <v>2400</v>
      </c>
      <c r="I26" s="10">
        <f t="shared" si="0"/>
        <v>7400</v>
      </c>
    </row>
    <row r="27" spans="1:9" x14ac:dyDescent="0.3">
      <c r="A27" s="10">
        <v>25</v>
      </c>
      <c r="B27" s="10" t="s">
        <v>407</v>
      </c>
      <c r="C27" s="10" t="s">
        <v>371</v>
      </c>
      <c r="D27" s="10" t="s">
        <v>44</v>
      </c>
      <c r="E27" s="10" t="s">
        <v>94</v>
      </c>
      <c r="F27" s="10" t="s">
        <v>63</v>
      </c>
      <c r="G27" s="10">
        <v>3500</v>
      </c>
      <c r="H27" s="10">
        <v>600</v>
      </c>
      <c r="I27" s="10">
        <f t="shared" si="0"/>
        <v>4100</v>
      </c>
    </row>
    <row r="28" spans="1:9" x14ac:dyDescent="0.3">
      <c r="A28" s="10">
        <v>26</v>
      </c>
      <c r="B28" s="10" t="s">
        <v>408</v>
      </c>
      <c r="C28" s="10" t="s">
        <v>44</v>
      </c>
      <c r="D28" s="10" t="s">
        <v>124</v>
      </c>
      <c r="E28" s="10" t="s">
        <v>60</v>
      </c>
      <c r="F28" s="10" t="s">
        <v>61</v>
      </c>
      <c r="G28" s="10">
        <v>4900</v>
      </c>
      <c r="H28" s="10">
        <v>1200</v>
      </c>
      <c r="I28" s="10">
        <f t="shared" si="0"/>
        <v>6100</v>
      </c>
    </row>
    <row r="29" spans="1:9" x14ac:dyDescent="0.3">
      <c r="A29" s="10">
        <v>27</v>
      </c>
      <c r="B29" s="10" t="s">
        <v>408</v>
      </c>
      <c r="C29" s="10" t="s">
        <v>44</v>
      </c>
      <c r="D29" s="10" t="s">
        <v>124</v>
      </c>
      <c r="E29" s="10" t="s">
        <v>57</v>
      </c>
      <c r="F29" s="10" t="s">
        <v>47</v>
      </c>
      <c r="G29" s="10">
        <v>5900</v>
      </c>
      <c r="H29" s="10">
        <v>3600</v>
      </c>
      <c r="I29" s="10">
        <f t="shared" si="0"/>
        <v>9500</v>
      </c>
    </row>
    <row r="30" spans="1:9" x14ac:dyDescent="0.3">
      <c r="F30" s="28" t="s">
        <v>41</v>
      </c>
      <c r="G30" s="38">
        <f>SUM(G3:G29)</f>
        <v>178400</v>
      </c>
      <c r="H30" s="38">
        <f>SUM(H3:H29)</f>
        <v>78600</v>
      </c>
      <c r="I30" s="38">
        <f>SUM(I3:I29)</f>
        <v>257000</v>
      </c>
    </row>
    <row r="33" spans="1:9" x14ac:dyDescent="0.3">
      <c r="A33" s="8" t="s">
        <v>453</v>
      </c>
    </row>
    <row r="34" spans="1:9" ht="28.8" x14ac:dyDescent="0.3">
      <c r="A34" s="26" t="s">
        <v>25</v>
      </c>
      <c r="B34" s="26" t="s">
        <v>26</v>
      </c>
      <c r="C34" s="26" t="s">
        <v>27</v>
      </c>
      <c r="D34" s="26" t="s">
        <v>28</v>
      </c>
      <c r="E34" s="26" t="s">
        <v>30</v>
      </c>
      <c r="F34" s="27" t="s">
        <v>34</v>
      </c>
      <c r="G34" s="26" t="s">
        <v>35</v>
      </c>
      <c r="H34" s="26" t="s">
        <v>36</v>
      </c>
      <c r="I34" s="27" t="s">
        <v>37</v>
      </c>
    </row>
    <row r="35" spans="1:9" x14ac:dyDescent="0.3">
      <c r="A35" s="10">
        <v>1</v>
      </c>
      <c r="B35" s="10" t="s">
        <v>445</v>
      </c>
      <c r="C35" s="10" t="s">
        <v>71</v>
      </c>
      <c r="D35" s="10" t="s">
        <v>44</v>
      </c>
      <c r="E35" s="10" t="s">
        <v>77</v>
      </c>
      <c r="F35" s="10" t="s">
        <v>47</v>
      </c>
      <c r="G35" s="10">
        <v>7500</v>
      </c>
      <c r="H35" s="10">
        <v>3600</v>
      </c>
      <c r="I35" s="10">
        <f>+H35+G35</f>
        <v>11100</v>
      </c>
    </row>
    <row r="36" spans="1:9" x14ac:dyDescent="0.3">
      <c r="A36" s="10">
        <v>2</v>
      </c>
      <c r="B36" s="10" t="s">
        <v>445</v>
      </c>
      <c r="C36" s="10" t="s">
        <v>44</v>
      </c>
      <c r="D36" s="10" t="s">
        <v>124</v>
      </c>
      <c r="E36" s="10" t="s">
        <v>57</v>
      </c>
      <c r="F36" s="10" t="s">
        <v>47</v>
      </c>
      <c r="G36" s="10">
        <v>5900</v>
      </c>
      <c r="H36" s="10">
        <v>3600</v>
      </c>
      <c r="I36" s="10">
        <f t="shared" ref="I36:I54" si="1">+H36+G36</f>
        <v>9500</v>
      </c>
    </row>
    <row r="37" spans="1:9" x14ac:dyDescent="0.3">
      <c r="A37" s="10">
        <v>3</v>
      </c>
      <c r="B37" s="10" t="s">
        <v>445</v>
      </c>
      <c r="C37" s="10" t="s">
        <v>44</v>
      </c>
      <c r="D37" s="10" t="s">
        <v>124</v>
      </c>
      <c r="E37" s="10" t="s">
        <v>77</v>
      </c>
      <c r="F37" s="10" t="s">
        <v>47</v>
      </c>
      <c r="G37" s="10">
        <v>5900</v>
      </c>
      <c r="H37" s="10">
        <v>3600</v>
      </c>
      <c r="I37" s="10">
        <f t="shared" si="1"/>
        <v>9500</v>
      </c>
    </row>
    <row r="38" spans="1:9" x14ac:dyDescent="0.3">
      <c r="A38" s="10">
        <v>4</v>
      </c>
      <c r="B38" s="10" t="s">
        <v>445</v>
      </c>
      <c r="C38" s="10" t="s">
        <v>44</v>
      </c>
      <c r="D38" s="10" t="s">
        <v>124</v>
      </c>
      <c r="E38" s="10" t="s">
        <v>60</v>
      </c>
      <c r="F38" s="10" t="s">
        <v>61</v>
      </c>
      <c r="G38" s="10">
        <v>4900</v>
      </c>
      <c r="H38" s="10">
        <v>1200</v>
      </c>
      <c r="I38" s="10">
        <f t="shared" si="1"/>
        <v>6100</v>
      </c>
    </row>
    <row r="39" spans="1:9" x14ac:dyDescent="0.3">
      <c r="A39" s="10">
        <v>5</v>
      </c>
      <c r="B39" s="10" t="s">
        <v>454</v>
      </c>
      <c r="C39" s="10" t="s">
        <v>43</v>
      </c>
      <c r="D39" s="10" t="s">
        <v>44</v>
      </c>
      <c r="E39" s="10" t="s">
        <v>77</v>
      </c>
      <c r="F39" s="10" t="s">
        <v>47</v>
      </c>
      <c r="G39" s="10">
        <v>7500</v>
      </c>
      <c r="H39" s="10">
        <v>3600</v>
      </c>
      <c r="I39" s="10">
        <f t="shared" si="1"/>
        <v>11100</v>
      </c>
    </row>
    <row r="40" spans="1:9" x14ac:dyDescent="0.3">
      <c r="A40" s="10">
        <v>6</v>
      </c>
      <c r="B40" s="10" t="s">
        <v>454</v>
      </c>
      <c r="C40" s="10" t="s">
        <v>71</v>
      </c>
      <c r="D40" s="10" t="s">
        <v>44</v>
      </c>
      <c r="E40" s="10" t="s">
        <v>57</v>
      </c>
      <c r="F40" s="10" t="s">
        <v>47</v>
      </c>
      <c r="G40" s="10">
        <v>7500</v>
      </c>
      <c r="H40" s="10">
        <v>3600</v>
      </c>
      <c r="I40" s="10">
        <f t="shared" si="1"/>
        <v>11100</v>
      </c>
    </row>
    <row r="41" spans="1:9" x14ac:dyDescent="0.3">
      <c r="A41" s="10">
        <v>7</v>
      </c>
      <c r="B41" s="10" t="s">
        <v>454</v>
      </c>
      <c r="C41" s="10" t="s">
        <v>71</v>
      </c>
      <c r="D41" s="10" t="s">
        <v>44</v>
      </c>
      <c r="E41" s="10" t="s">
        <v>92</v>
      </c>
      <c r="F41" s="10" t="s">
        <v>47</v>
      </c>
      <c r="G41" s="10">
        <v>7500</v>
      </c>
      <c r="H41" s="10">
        <v>3600</v>
      </c>
      <c r="I41" s="10">
        <f t="shared" si="1"/>
        <v>11100</v>
      </c>
    </row>
    <row r="42" spans="1:9" x14ac:dyDescent="0.3">
      <c r="A42" s="10">
        <v>8</v>
      </c>
      <c r="B42" s="10" t="s">
        <v>454</v>
      </c>
      <c r="C42" s="10" t="s">
        <v>361</v>
      </c>
      <c r="D42" s="10" t="s">
        <v>44</v>
      </c>
      <c r="E42" s="10" t="s">
        <v>282</v>
      </c>
      <c r="F42" s="10" t="s">
        <v>47</v>
      </c>
      <c r="G42" s="10">
        <v>7500</v>
      </c>
      <c r="H42" s="10">
        <v>3600</v>
      </c>
      <c r="I42" s="10">
        <f t="shared" si="1"/>
        <v>11100</v>
      </c>
    </row>
    <row r="43" spans="1:9" x14ac:dyDescent="0.3">
      <c r="A43" s="10">
        <v>9</v>
      </c>
      <c r="B43" s="10" t="s">
        <v>454</v>
      </c>
      <c r="C43" s="10" t="s">
        <v>44</v>
      </c>
      <c r="D43" s="10" t="s">
        <v>124</v>
      </c>
      <c r="E43" s="10" t="s">
        <v>60</v>
      </c>
      <c r="F43" s="10" t="s">
        <v>61</v>
      </c>
      <c r="G43" s="10">
        <v>4900</v>
      </c>
      <c r="H43" s="10">
        <v>1200</v>
      </c>
      <c r="I43" s="10">
        <f t="shared" si="1"/>
        <v>6100</v>
      </c>
    </row>
    <row r="44" spans="1:9" x14ac:dyDescent="0.3">
      <c r="A44" s="10">
        <v>10</v>
      </c>
      <c r="B44" s="10" t="s">
        <v>455</v>
      </c>
      <c r="C44" s="10" t="s">
        <v>43</v>
      </c>
      <c r="D44" s="10" t="s">
        <v>44</v>
      </c>
      <c r="E44" s="10" t="s">
        <v>77</v>
      </c>
      <c r="F44" s="10" t="s">
        <v>47</v>
      </c>
      <c r="G44" s="10">
        <v>7500</v>
      </c>
      <c r="H44" s="10">
        <v>3600</v>
      </c>
      <c r="I44" s="10">
        <f t="shared" si="1"/>
        <v>11100</v>
      </c>
    </row>
    <row r="45" spans="1:9" x14ac:dyDescent="0.3">
      <c r="A45" s="10">
        <v>11</v>
      </c>
      <c r="B45" s="10" t="s">
        <v>455</v>
      </c>
      <c r="C45" s="10" t="s">
        <v>71</v>
      </c>
      <c r="D45" s="10" t="s">
        <v>44</v>
      </c>
      <c r="E45" s="10" t="s">
        <v>125</v>
      </c>
      <c r="F45" s="10" t="s">
        <v>47</v>
      </c>
      <c r="G45" s="10">
        <v>7500</v>
      </c>
      <c r="H45" s="10">
        <v>3600</v>
      </c>
      <c r="I45" s="10">
        <f t="shared" si="1"/>
        <v>11100</v>
      </c>
    </row>
    <row r="46" spans="1:9" x14ac:dyDescent="0.3">
      <c r="A46" s="10">
        <v>12</v>
      </c>
      <c r="B46" s="10" t="s">
        <v>455</v>
      </c>
      <c r="C46" s="10" t="s">
        <v>44</v>
      </c>
      <c r="D46" s="10" t="s">
        <v>456</v>
      </c>
      <c r="E46" s="10" t="s">
        <v>57</v>
      </c>
      <c r="F46" s="10" t="s">
        <v>47</v>
      </c>
      <c r="G46" s="10">
        <v>7500</v>
      </c>
      <c r="H46" s="10">
        <v>3600</v>
      </c>
      <c r="I46" s="10">
        <f t="shared" si="1"/>
        <v>11100</v>
      </c>
    </row>
    <row r="47" spans="1:9" x14ac:dyDescent="0.3">
      <c r="A47" s="10">
        <v>13</v>
      </c>
      <c r="B47" s="10" t="s">
        <v>455</v>
      </c>
      <c r="C47" s="10" t="s">
        <v>44</v>
      </c>
      <c r="D47" s="10" t="s">
        <v>456</v>
      </c>
      <c r="E47" s="10" t="s">
        <v>77</v>
      </c>
      <c r="F47" s="10" t="s">
        <v>47</v>
      </c>
      <c r="G47" s="10">
        <v>7500</v>
      </c>
      <c r="H47" s="10">
        <v>3600</v>
      </c>
      <c r="I47" s="10">
        <f t="shared" si="1"/>
        <v>11100</v>
      </c>
    </row>
    <row r="48" spans="1:9" x14ac:dyDescent="0.3">
      <c r="A48" s="10">
        <v>14</v>
      </c>
      <c r="B48" s="10" t="s">
        <v>455</v>
      </c>
      <c r="C48" s="10" t="s">
        <v>361</v>
      </c>
      <c r="D48" s="10" t="s">
        <v>44</v>
      </c>
      <c r="E48" s="10" t="s">
        <v>282</v>
      </c>
      <c r="F48" s="10" t="s">
        <v>47</v>
      </c>
      <c r="G48" s="10">
        <v>7500</v>
      </c>
      <c r="H48" s="10">
        <v>3600</v>
      </c>
      <c r="I48" s="10">
        <f t="shared" si="1"/>
        <v>11100</v>
      </c>
    </row>
    <row r="49" spans="1:9" x14ac:dyDescent="0.3">
      <c r="A49" s="10">
        <v>15</v>
      </c>
      <c r="B49" s="10" t="s">
        <v>455</v>
      </c>
      <c r="C49" s="10" t="s">
        <v>44</v>
      </c>
      <c r="D49" s="10" t="s">
        <v>65</v>
      </c>
      <c r="E49" s="10" t="s">
        <v>60</v>
      </c>
      <c r="F49" s="10" t="s">
        <v>61</v>
      </c>
      <c r="G49" s="10">
        <v>4900</v>
      </c>
      <c r="H49" s="10">
        <v>1200</v>
      </c>
      <c r="I49" s="10">
        <f t="shared" si="1"/>
        <v>6100</v>
      </c>
    </row>
    <row r="50" spans="1:9" x14ac:dyDescent="0.3">
      <c r="A50" s="10">
        <v>16</v>
      </c>
      <c r="B50" s="10" t="s">
        <v>457</v>
      </c>
      <c r="C50" s="10" t="s">
        <v>43</v>
      </c>
      <c r="D50" s="10" t="s">
        <v>44</v>
      </c>
      <c r="E50" s="10" t="s">
        <v>57</v>
      </c>
      <c r="F50" s="10" t="s">
        <v>47</v>
      </c>
      <c r="G50" s="10">
        <v>7500</v>
      </c>
      <c r="H50" s="10">
        <v>3600</v>
      </c>
      <c r="I50" s="10">
        <f t="shared" si="1"/>
        <v>11100</v>
      </c>
    </row>
    <row r="51" spans="1:9" x14ac:dyDescent="0.3">
      <c r="A51" s="10">
        <v>17</v>
      </c>
      <c r="B51" s="10" t="s">
        <v>457</v>
      </c>
      <c r="C51" s="10" t="s">
        <v>71</v>
      </c>
      <c r="D51" s="10" t="s">
        <v>44</v>
      </c>
      <c r="E51" s="10" t="s">
        <v>125</v>
      </c>
      <c r="F51" s="10" t="s">
        <v>47</v>
      </c>
      <c r="G51" s="10">
        <v>7500</v>
      </c>
      <c r="H51" s="10">
        <v>3600</v>
      </c>
      <c r="I51" s="10">
        <f t="shared" si="1"/>
        <v>11100</v>
      </c>
    </row>
    <row r="52" spans="1:9" x14ac:dyDescent="0.3">
      <c r="A52" s="10">
        <v>18</v>
      </c>
      <c r="B52" s="10" t="s">
        <v>457</v>
      </c>
      <c r="C52" s="10" t="s">
        <v>44</v>
      </c>
      <c r="D52" s="10" t="s">
        <v>456</v>
      </c>
      <c r="E52" s="10" t="s">
        <v>282</v>
      </c>
      <c r="F52" s="10" t="s">
        <v>47</v>
      </c>
      <c r="G52" s="10">
        <v>7500</v>
      </c>
      <c r="H52" s="10">
        <v>3600</v>
      </c>
      <c r="I52" s="10">
        <f t="shared" si="1"/>
        <v>11100</v>
      </c>
    </row>
    <row r="53" spans="1:9" x14ac:dyDescent="0.3">
      <c r="A53" s="10">
        <v>19</v>
      </c>
      <c r="B53" s="10" t="s">
        <v>457</v>
      </c>
      <c r="C53" s="10" t="s">
        <v>44</v>
      </c>
      <c r="D53" s="10" t="s">
        <v>456</v>
      </c>
      <c r="E53" s="10" t="s">
        <v>125</v>
      </c>
      <c r="F53" s="10" t="s">
        <v>47</v>
      </c>
      <c r="G53" s="10">
        <v>7500</v>
      </c>
      <c r="H53" s="10">
        <v>3600</v>
      </c>
      <c r="I53" s="10">
        <f t="shared" si="1"/>
        <v>11100</v>
      </c>
    </row>
    <row r="54" spans="1:9" x14ac:dyDescent="0.3">
      <c r="A54" s="10">
        <v>20</v>
      </c>
      <c r="B54" s="10" t="s">
        <v>457</v>
      </c>
      <c r="C54" s="10" t="s">
        <v>44</v>
      </c>
      <c r="D54" s="10" t="s">
        <v>124</v>
      </c>
      <c r="E54" s="10" t="s">
        <v>57</v>
      </c>
      <c r="F54" s="10" t="s">
        <v>47</v>
      </c>
      <c r="G54" s="10">
        <v>5900</v>
      </c>
      <c r="H54" s="10">
        <v>3600</v>
      </c>
      <c r="I54" s="10">
        <f t="shared" si="1"/>
        <v>9500</v>
      </c>
    </row>
    <row r="55" spans="1:9" x14ac:dyDescent="0.3">
      <c r="A55" s="10">
        <v>21</v>
      </c>
      <c r="B55" s="10" t="s">
        <v>458</v>
      </c>
      <c r="C55" s="10" t="s">
        <v>43</v>
      </c>
      <c r="D55" s="10" t="s">
        <v>44</v>
      </c>
      <c r="E55" s="10" t="s">
        <v>60</v>
      </c>
      <c r="F55" s="10" t="s">
        <v>63</v>
      </c>
      <c r="G55" s="10">
        <v>4500</v>
      </c>
      <c r="H55" s="10">
        <v>600</v>
      </c>
      <c r="I55" s="10">
        <f>+H55+G55</f>
        <v>5100</v>
      </c>
    </row>
    <row r="56" spans="1:9" x14ac:dyDescent="0.3">
      <c r="A56" s="10">
        <v>22</v>
      </c>
      <c r="B56" s="10" t="s">
        <v>458</v>
      </c>
      <c r="C56" s="10" t="s">
        <v>71</v>
      </c>
      <c r="D56" s="10" t="s">
        <v>44</v>
      </c>
      <c r="E56" s="10" t="s">
        <v>77</v>
      </c>
      <c r="F56" s="10" t="s">
        <v>47</v>
      </c>
      <c r="G56" s="10">
        <v>7500</v>
      </c>
      <c r="H56" s="10">
        <v>3600</v>
      </c>
      <c r="I56" s="10">
        <f t="shared" ref="I56:I106" si="2">+H56+G56</f>
        <v>11100</v>
      </c>
    </row>
    <row r="57" spans="1:9" x14ac:dyDescent="0.3">
      <c r="A57" s="10">
        <v>23</v>
      </c>
      <c r="B57" s="10" t="s">
        <v>458</v>
      </c>
      <c r="C57" s="10" t="s">
        <v>361</v>
      </c>
      <c r="D57" s="10" t="s">
        <v>44</v>
      </c>
      <c r="E57" s="10" t="s">
        <v>97</v>
      </c>
      <c r="F57" s="10" t="s">
        <v>47</v>
      </c>
      <c r="G57" s="10">
        <v>7500</v>
      </c>
      <c r="H57" s="10">
        <v>3600</v>
      </c>
      <c r="I57" s="10">
        <f t="shared" si="2"/>
        <v>11100</v>
      </c>
    </row>
    <row r="58" spans="1:9" x14ac:dyDescent="0.3">
      <c r="A58" s="10">
        <v>24</v>
      </c>
      <c r="B58" s="10" t="s">
        <v>458</v>
      </c>
      <c r="C58" s="10" t="s">
        <v>44</v>
      </c>
      <c r="D58" s="10" t="s">
        <v>456</v>
      </c>
      <c r="E58" s="10" t="s">
        <v>92</v>
      </c>
      <c r="F58" s="10" t="s">
        <v>47</v>
      </c>
      <c r="G58" s="10">
        <v>7500</v>
      </c>
      <c r="H58" s="10">
        <v>3600</v>
      </c>
      <c r="I58" s="10">
        <f t="shared" si="2"/>
        <v>11100</v>
      </c>
    </row>
    <row r="59" spans="1:9" x14ac:dyDescent="0.3">
      <c r="A59" s="10">
        <v>25</v>
      </c>
      <c r="B59" s="10" t="s">
        <v>458</v>
      </c>
      <c r="C59" s="10" t="s">
        <v>44</v>
      </c>
      <c r="D59" s="10" t="s">
        <v>456</v>
      </c>
      <c r="E59" s="10" t="s">
        <v>57</v>
      </c>
      <c r="F59" s="10" t="s">
        <v>47</v>
      </c>
      <c r="G59" s="10">
        <v>7500</v>
      </c>
      <c r="H59" s="10">
        <v>3600</v>
      </c>
      <c r="I59" s="10">
        <f t="shared" si="2"/>
        <v>11100</v>
      </c>
    </row>
    <row r="60" spans="1:9" x14ac:dyDescent="0.3">
      <c r="A60" s="10">
        <v>26</v>
      </c>
      <c r="B60" s="10" t="s">
        <v>458</v>
      </c>
      <c r="C60" s="10" t="s">
        <v>44</v>
      </c>
      <c r="D60" s="10" t="s">
        <v>456</v>
      </c>
      <c r="E60" s="10" t="s">
        <v>77</v>
      </c>
      <c r="F60" s="10" t="s">
        <v>47</v>
      </c>
      <c r="G60" s="10">
        <v>7500</v>
      </c>
      <c r="H60" s="10">
        <v>3600</v>
      </c>
      <c r="I60" s="10">
        <f t="shared" si="2"/>
        <v>11100</v>
      </c>
    </row>
    <row r="61" spans="1:9" x14ac:dyDescent="0.3">
      <c r="A61" s="10">
        <v>27</v>
      </c>
      <c r="B61" s="10" t="s">
        <v>458</v>
      </c>
      <c r="C61" s="10" t="s">
        <v>361</v>
      </c>
      <c r="D61" s="10" t="s">
        <v>44</v>
      </c>
      <c r="E61" s="10" t="s">
        <v>57</v>
      </c>
      <c r="F61" s="10" t="s">
        <v>47</v>
      </c>
      <c r="G61" s="10">
        <v>7500</v>
      </c>
      <c r="H61" s="10">
        <v>3600</v>
      </c>
      <c r="I61" s="10">
        <f t="shared" si="2"/>
        <v>11100</v>
      </c>
    </row>
    <row r="62" spans="1:9" x14ac:dyDescent="0.3">
      <c r="A62" s="10">
        <v>28</v>
      </c>
      <c r="B62" s="10" t="s">
        <v>450</v>
      </c>
      <c r="C62" s="10" t="s">
        <v>43</v>
      </c>
      <c r="D62" s="10" t="s">
        <v>44</v>
      </c>
      <c r="E62" s="10" t="s">
        <v>57</v>
      </c>
      <c r="F62" s="10" t="s">
        <v>47</v>
      </c>
      <c r="G62" s="10">
        <v>7500</v>
      </c>
      <c r="H62" s="10">
        <v>3600</v>
      </c>
      <c r="I62" s="10">
        <f t="shared" ref="I62" si="3">+H62+G62</f>
        <v>11100</v>
      </c>
    </row>
    <row r="63" spans="1:9" x14ac:dyDescent="0.3">
      <c r="A63" s="10">
        <v>29</v>
      </c>
      <c r="B63" s="10" t="s">
        <v>450</v>
      </c>
      <c r="C63" s="10" t="s">
        <v>71</v>
      </c>
      <c r="D63" s="10" t="s">
        <v>44</v>
      </c>
      <c r="E63" s="10" t="s">
        <v>459</v>
      </c>
      <c r="F63" s="10" t="s">
        <v>47</v>
      </c>
      <c r="G63" s="10">
        <v>7500</v>
      </c>
      <c r="H63" s="10">
        <v>3600</v>
      </c>
      <c r="I63" s="10">
        <f t="shared" ref="I63" si="4">+H63+G63</f>
        <v>11100</v>
      </c>
    </row>
    <row r="64" spans="1:9" x14ac:dyDescent="0.3">
      <c r="A64" s="10">
        <v>30</v>
      </c>
      <c r="B64" s="10" t="s">
        <v>450</v>
      </c>
      <c r="C64" s="10" t="s">
        <v>44</v>
      </c>
      <c r="D64" s="10" t="s">
        <v>456</v>
      </c>
      <c r="E64" s="10" t="s">
        <v>92</v>
      </c>
      <c r="F64" s="10" t="s">
        <v>47</v>
      </c>
      <c r="G64" s="10">
        <v>7500</v>
      </c>
      <c r="H64" s="10">
        <v>3600</v>
      </c>
      <c r="I64" s="10">
        <f t="shared" ref="I64" si="5">+H64+G64</f>
        <v>11100</v>
      </c>
    </row>
    <row r="65" spans="1:9" x14ac:dyDescent="0.3">
      <c r="A65" s="10">
        <v>31</v>
      </c>
      <c r="B65" s="10" t="s">
        <v>450</v>
      </c>
      <c r="C65" s="10" t="s">
        <v>44</v>
      </c>
      <c r="D65" s="10" t="s">
        <v>456</v>
      </c>
      <c r="E65" s="10" t="s">
        <v>282</v>
      </c>
      <c r="F65" s="10" t="s">
        <v>47</v>
      </c>
      <c r="G65" s="10">
        <v>7500</v>
      </c>
      <c r="H65" s="10">
        <v>3600</v>
      </c>
      <c r="I65" s="10">
        <f t="shared" ref="I65" si="6">+H65+G65</f>
        <v>11100</v>
      </c>
    </row>
    <row r="66" spans="1:9" x14ac:dyDescent="0.3">
      <c r="A66" s="10">
        <v>32</v>
      </c>
      <c r="B66" s="10" t="s">
        <v>450</v>
      </c>
      <c r="C66" s="10" t="s">
        <v>44</v>
      </c>
      <c r="D66" s="10" t="s">
        <v>456</v>
      </c>
      <c r="E66" s="10" t="s">
        <v>57</v>
      </c>
      <c r="F66" s="10" t="s">
        <v>47</v>
      </c>
      <c r="G66" s="10">
        <v>7500</v>
      </c>
      <c r="H66" s="10">
        <v>3600</v>
      </c>
      <c r="I66" s="10">
        <f t="shared" ref="I66" si="7">+H66+G66</f>
        <v>11100</v>
      </c>
    </row>
    <row r="67" spans="1:9" x14ac:dyDescent="0.3">
      <c r="A67" s="10">
        <v>33</v>
      </c>
      <c r="B67" s="10" t="s">
        <v>450</v>
      </c>
      <c r="C67" s="10" t="s">
        <v>44</v>
      </c>
      <c r="D67" s="10" t="s">
        <v>456</v>
      </c>
      <c r="E67" s="10" t="s">
        <v>77</v>
      </c>
      <c r="F67" s="10" t="s">
        <v>47</v>
      </c>
      <c r="G67" s="10">
        <v>7500</v>
      </c>
      <c r="H67" s="10">
        <v>3600</v>
      </c>
      <c r="I67" s="10">
        <f t="shared" ref="I67" si="8">+H67+G67</f>
        <v>11100</v>
      </c>
    </row>
    <row r="68" spans="1:9" x14ac:dyDescent="0.3">
      <c r="A68" s="10">
        <v>34</v>
      </c>
      <c r="B68" s="10" t="s">
        <v>460</v>
      </c>
      <c r="C68" s="10" t="s">
        <v>44</v>
      </c>
      <c r="D68" s="10" t="s">
        <v>456</v>
      </c>
      <c r="E68" s="10" t="s">
        <v>92</v>
      </c>
      <c r="F68" s="10" t="s">
        <v>47</v>
      </c>
      <c r="G68" s="10">
        <v>7500</v>
      </c>
      <c r="H68" s="10">
        <v>3600</v>
      </c>
      <c r="I68" s="10">
        <f t="shared" ref="I68" si="9">+H68+G68</f>
        <v>11100</v>
      </c>
    </row>
    <row r="69" spans="1:9" x14ac:dyDescent="0.3">
      <c r="A69" s="10">
        <v>35</v>
      </c>
      <c r="B69" s="10" t="s">
        <v>460</v>
      </c>
      <c r="C69" s="10" t="s">
        <v>44</v>
      </c>
      <c r="D69" s="10" t="s">
        <v>456</v>
      </c>
      <c r="E69" s="10" t="s">
        <v>77</v>
      </c>
      <c r="F69" s="10" t="s">
        <v>47</v>
      </c>
      <c r="G69" s="10">
        <v>7500</v>
      </c>
      <c r="H69" s="10">
        <v>3600</v>
      </c>
      <c r="I69" s="10">
        <f t="shared" ref="I69" si="10">+H69+G69</f>
        <v>11100</v>
      </c>
    </row>
    <row r="70" spans="1:9" x14ac:dyDescent="0.3">
      <c r="A70" s="10">
        <v>36</v>
      </c>
      <c r="B70" s="10" t="s">
        <v>460</v>
      </c>
      <c r="C70" s="10" t="s">
        <v>44</v>
      </c>
      <c r="D70" s="10" t="s">
        <v>456</v>
      </c>
      <c r="E70" s="10" t="s">
        <v>57</v>
      </c>
      <c r="F70" s="10" t="s">
        <v>47</v>
      </c>
      <c r="G70" s="10">
        <v>7500</v>
      </c>
      <c r="H70" s="10">
        <v>3600</v>
      </c>
      <c r="I70" s="10">
        <f t="shared" ref="I70" si="11">+H70+G70</f>
        <v>11100</v>
      </c>
    </row>
    <row r="71" spans="1:9" x14ac:dyDescent="0.3">
      <c r="A71" s="10">
        <v>37</v>
      </c>
      <c r="B71" s="10" t="s">
        <v>460</v>
      </c>
      <c r="C71" s="10" t="s">
        <v>44</v>
      </c>
      <c r="D71" s="10" t="s">
        <v>456</v>
      </c>
      <c r="E71" s="10" t="s">
        <v>282</v>
      </c>
      <c r="F71" s="10" t="s">
        <v>47</v>
      </c>
      <c r="G71" s="10">
        <v>7500</v>
      </c>
      <c r="H71" s="10">
        <v>3600</v>
      </c>
      <c r="I71" s="10">
        <f t="shared" ref="I71" si="12">+H71+G71</f>
        <v>11100</v>
      </c>
    </row>
    <row r="72" spans="1:9" x14ac:dyDescent="0.3">
      <c r="A72" s="10">
        <v>38</v>
      </c>
      <c r="B72" s="10" t="s">
        <v>461</v>
      </c>
      <c r="C72" s="10" t="s">
        <v>43</v>
      </c>
      <c r="D72" s="10" t="s">
        <v>44</v>
      </c>
      <c r="E72" s="10" t="s">
        <v>57</v>
      </c>
      <c r="F72" s="10" t="s">
        <v>47</v>
      </c>
      <c r="G72" s="10">
        <v>7500</v>
      </c>
      <c r="H72" s="10">
        <v>3600</v>
      </c>
      <c r="I72" s="10">
        <f t="shared" ref="I72" si="13">+H72+G72</f>
        <v>11100</v>
      </c>
    </row>
    <row r="73" spans="1:9" x14ac:dyDescent="0.3">
      <c r="A73" s="10">
        <v>39</v>
      </c>
      <c r="B73" s="10" t="s">
        <v>461</v>
      </c>
      <c r="C73" s="10" t="s">
        <v>43</v>
      </c>
      <c r="D73" s="10" t="s">
        <v>44</v>
      </c>
      <c r="E73" s="10" t="s">
        <v>92</v>
      </c>
      <c r="F73" s="10" t="s">
        <v>47</v>
      </c>
      <c r="G73" s="10">
        <v>7500</v>
      </c>
      <c r="H73" s="10">
        <v>3600</v>
      </c>
      <c r="I73" s="10">
        <f t="shared" ref="I73" si="14">+H73+G73</f>
        <v>11100</v>
      </c>
    </row>
    <row r="74" spans="1:9" x14ac:dyDescent="0.3">
      <c r="A74" s="10">
        <v>40</v>
      </c>
      <c r="B74" s="10" t="s">
        <v>461</v>
      </c>
      <c r="C74" s="10" t="s">
        <v>71</v>
      </c>
      <c r="D74" s="10" t="s">
        <v>44</v>
      </c>
      <c r="E74" s="10" t="s">
        <v>125</v>
      </c>
      <c r="F74" s="10" t="s">
        <v>47</v>
      </c>
      <c r="G74" s="10">
        <v>7500</v>
      </c>
      <c r="H74" s="10">
        <v>3600</v>
      </c>
      <c r="I74" s="10">
        <f t="shared" ref="I74" si="15">+H74+G74</f>
        <v>11100</v>
      </c>
    </row>
    <row r="75" spans="1:9" x14ac:dyDescent="0.3">
      <c r="A75" s="10">
        <v>41</v>
      </c>
      <c r="B75" s="10" t="s">
        <v>461</v>
      </c>
      <c r="C75" s="10" t="s">
        <v>71</v>
      </c>
      <c r="D75" s="10" t="s">
        <v>44</v>
      </c>
      <c r="E75" s="10" t="s">
        <v>233</v>
      </c>
      <c r="F75" s="10" t="s">
        <v>47</v>
      </c>
      <c r="G75" s="10">
        <v>7500</v>
      </c>
      <c r="H75" s="10">
        <v>3600</v>
      </c>
      <c r="I75" s="10">
        <f t="shared" ref="I75" si="16">+H75+G75</f>
        <v>11100</v>
      </c>
    </row>
    <row r="76" spans="1:9" x14ac:dyDescent="0.3">
      <c r="A76" s="10">
        <v>42</v>
      </c>
      <c r="B76" s="10" t="s">
        <v>461</v>
      </c>
      <c r="C76" s="10" t="s">
        <v>361</v>
      </c>
      <c r="D76" s="10" t="s">
        <v>44</v>
      </c>
      <c r="E76" s="10" t="s">
        <v>77</v>
      </c>
      <c r="F76" s="10" t="s">
        <v>47</v>
      </c>
      <c r="G76" s="10">
        <v>7500</v>
      </c>
      <c r="H76" s="10">
        <v>3600</v>
      </c>
      <c r="I76" s="10">
        <f t="shared" ref="I76" si="17">+H76+G76</f>
        <v>11100</v>
      </c>
    </row>
    <row r="77" spans="1:9" x14ac:dyDescent="0.3">
      <c r="A77" s="10">
        <v>43</v>
      </c>
      <c r="B77" s="10" t="s">
        <v>461</v>
      </c>
      <c r="C77" s="10" t="s">
        <v>361</v>
      </c>
      <c r="D77" s="10" t="s">
        <v>44</v>
      </c>
      <c r="E77" s="10" t="s">
        <v>282</v>
      </c>
      <c r="F77" s="10" t="s">
        <v>47</v>
      </c>
      <c r="G77" s="10">
        <v>7500</v>
      </c>
      <c r="H77" s="10">
        <v>3600</v>
      </c>
      <c r="I77" s="10">
        <f t="shared" ref="I77" si="18">+H77+G77</f>
        <v>11100</v>
      </c>
    </row>
    <row r="78" spans="1:9" x14ac:dyDescent="0.3">
      <c r="A78" s="10">
        <v>44</v>
      </c>
      <c r="B78" s="10" t="s">
        <v>461</v>
      </c>
      <c r="C78" s="10" t="s">
        <v>44</v>
      </c>
      <c r="D78" s="10" t="s">
        <v>456</v>
      </c>
      <c r="E78" s="10" t="s">
        <v>57</v>
      </c>
      <c r="F78" s="10" t="s">
        <v>47</v>
      </c>
      <c r="G78" s="10">
        <v>7500</v>
      </c>
      <c r="H78" s="10">
        <v>3600</v>
      </c>
      <c r="I78" s="10">
        <f t="shared" ref="I78" si="19">+H78+G78</f>
        <v>11100</v>
      </c>
    </row>
    <row r="79" spans="1:9" x14ac:dyDescent="0.3">
      <c r="A79" s="10">
        <v>45</v>
      </c>
      <c r="B79" s="10" t="s">
        <v>462</v>
      </c>
      <c r="C79" s="10" t="s">
        <v>71</v>
      </c>
      <c r="D79" s="10" t="s">
        <v>44</v>
      </c>
      <c r="E79" s="10" t="s">
        <v>236</v>
      </c>
      <c r="F79" s="10" t="s">
        <v>47</v>
      </c>
      <c r="G79" s="10">
        <v>7500</v>
      </c>
      <c r="H79" s="10">
        <v>3600</v>
      </c>
      <c r="I79" s="10">
        <f t="shared" ref="I79" si="20">+H79+G79</f>
        <v>11100</v>
      </c>
    </row>
    <row r="80" spans="1:9" x14ac:dyDescent="0.3">
      <c r="A80" s="10">
        <v>46</v>
      </c>
      <c r="B80" s="10" t="s">
        <v>462</v>
      </c>
      <c r="C80" s="10" t="s">
        <v>71</v>
      </c>
      <c r="D80" s="10" t="s">
        <v>44</v>
      </c>
      <c r="E80" s="10" t="s">
        <v>233</v>
      </c>
      <c r="F80" s="10" t="s">
        <v>47</v>
      </c>
      <c r="G80" s="10">
        <v>7500</v>
      </c>
      <c r="H80" s="10">
        <v>3600</v>
      </c>
      <c r="I80" s="10">
        <f t="shared" ref="I80" si="21">+H80+G80</f>
        <v>11100</v>
      </c>
    </row>
    <row r="81" spans="1:9" x14ac:dyDescent="0.3">
      <c r="A81" s="10">
        <v>47</v>
      </c>
      <c r="B81" s="10" t="s">
        <v>462</v>
      </c>
      <c r="C81" s="10" t="s">
        <v>43</v>
      </c>
      <c r="D81" s="10" t="s">
        <v>44</v>
      </c>
      <c r="E81" s="10" t="s">
        <v>77</v>
      </c>
      <c r="F81" s="10" t="s">
        <v>47</v>
      </c>
      <c r="G81" s="10">
        <v>7500</v>
      </c>
      <c r="H81" s="10">
        <v>3600</v>
      </c>
      <c r="I81" s="10">
        <f t="shared" ref="I81" si="22">+H81+G81</f>
        <v>11100</v>
      </c>
    </row>
    <row r="82" spans="1:9" x14ac:dyDescent="0.3">
      <c r="A82" s="10">
        <v>48</v>
      </c>
      <c r="B82" s="10" t="s">
        <v>462</v>
      </c>
      <c r="C82" s="10" t="s">
        <v>44</v>
      </c>
      <c r="D82" s="10" t="s">
        <v>456</v>
      </c>
      <c r="E82" s="10" t="s">
        <v>282</v>
      </c>
      <c r="F82" s="10" t="s">
        <v>47</v>
      </c>
      <c r="G82" s="10">
        <v>7500</v>
      </c>
      <c r="H82" s="10">
        <v>3600</v>
      </c>
      <c r="I82" s="10">
        <f t="shared" ref="I82" si="23">+H82+G82</f>
        <v>11100</v>
      </c>
    </row>
    <row r="83" spans="1:9" x14ac:dyDescent="0.3">
      <c r="A83" s="10">
        <v>49</v>
      </c>
      <c r="B83" s="10" t="s">
        <v>462</v>
      </c>
      <c r="C83" s="10" t="s">
        <v>44</v>
      </c>
      <c r="D83" s="10" t="s">
        <v>456</v>
      </c>
      <c r="E83" s="10" t="s">
        <v>92</v>
      </c>
      <c r="F83" s="10" t="s">
        <v>47</v>
      </c>
      <c r="G83" s="10">
        <v>7500</v>
      </c>
      <c r="H83" s="10">
        <v>3600</v>
      </c>
      <c r="I83" s="10">
        <f t="shared" ref="I83" si="24">+H83+G83</f>
        <v>11100</v>
      </c>
    </row>
    <row r="84" spans="1:9" x14ac:dyDescent="0.3">
      <c r="A84" s="10">
        <v>50</v>
      </c>
      <c r="B84" s="10" t="s">
        <v>462</v>
      </c>
      <c r="C84" s="10" t="s">
        <v>44</v>
      </c>
      <c r="D84" s="10" t="s">
        <v>456</v>
      </c>
      <c r="E84" s="10" t="s">
        <v>77</v>
      </c>
      <c r="F84" s="10" t="s">
        <v>47</v>
      </c>
      <c r="G84" s="10">
        <v>7500</v>
      </c>
      <c r="H84" s="10">
        <v>3600</v>
      </c>
      <c r="I84" s="10">
        <f t="shared" ref="I84:I85" si="25">+H84+G84</f>
        <v>11100</v>
      </c>
    </row>
    <row r="85" spans="1:9" x14ac:dyDescent="0.3">
      <c r="A85" s="10">
        <v>51</v>
      </c>
      <c r="B85" s="10" t="s">
        <v>462</v>
      </c>
      <c r="C85" s="10" t="s">
        <v>44</v>
      </c>
      <c r="D85" s="10" t="s">
        <v>124</v>
      </c>
      <c r="E85" s="10" t="s">
        <v>60</v>
      </c>
      <c r="F85" s="10" t="s">
        <v>61</v>
      </c>
      <c r="G85" s="10">
        <v>4900</v>
      </c>
      <c r="H85" s="10">
        <v>1200</v>
      </c>
      <c r="I85" s="10">
        <f t="shared" si="25"/>
        <v>6100</v>
      </c>
    </row>
    <row r="86" spans="1:9" x14ac:dyDescent="0.3">
      <c r="A86" s="10">
        <v>52</v>
      </c>
      <c r="B86" s="10" t="s">
        <v>463</v>
      </c>
      <c r="C86" s="10" t="s">
        <v>44</v>
      </c>
      <c r="D86" s="10" t="s">
        <v>456</v>
      </c>
      <c r="E86" s="10" t="s">
        <v>282</v>
      </c>
      <c r="F86" s="10" t="s">
        <v>47</v>
      </c>
      <c r="G86" s="10">
        <v>7500</v>
      </c>
      <c r="H86" s="10">
        <v>3600</v>
      </c>
      <c r="I86" s="10">
        <f t="shared" ref="I86" si="26">+H86+G86</f>
        <v>11100</v>
      </c>
    </row>
    <row r="87" spans="1:9" x14ac:dyDescent="0.3">
      <c r="A87" s="10">
        <v>53</v>
      </c>
      <c r="B87" s="10" t="s">
        <v>463</v>
      </c>
      <c r="C87" s="10" t="s">
        <v>44</v>
      </c>
      <c r="D87" s="10" t="s">
        <v>456</v>
      </c>
      <c r="E87" s="10" t="s">
        <v>57</v>
      </c>
      <c r="F87" s="10" t="s">
        <v>47</v>
      </c>
      <c r="G87" s="10">
        <v>7500</v>
      </c>
      <c r="H87" s="10">
        <v>3600</v>
      </c>
      <c r="I87" s="10">
        <f t="shared" ref="I87" si="27">+H87+G87</f>
        <v>11100</v>
      </c>
    </row>
    <row r="88" spans="1:9" x14ac:dyDescent="0.3">
      <c r="A88" s="10">
        <v>54</v>
      </c>
      <c r="B88" s="10" t="s">
        <v>463</v>
      </c>
      <c r="C88" s="10" t="s">
        <v>44</v>
      </c>
      <c r="D88" s="10" t="s">
        <v>456</v>
      </c>
      <c r="E88" s="10" t="s">
        <v>236</v>
      </c>
      <c r="F88" s="10" t="s">
        <v>47</v>
      </c>
      <c r="G88" s="10">
        <v>7500</v>
      </c>
      <c r="H88" s="10">
        <v>3600</v>
      </c>
      <c r="I88" s="10">
        <f t="shared" ref="I88" si="28">+H88+G88</f>
        <v>11100</v>
      </c>
    </row>
    <row r="89" spans="1:9" x14ac:dyDescent="0.3">
      <c r="A89" s="10">
        <v>55</v>
      </c>
      <c r="B89" s="10" t="s">
        <v>463</v>
      </c>
      <c r="C89" s="10" t="s">
        <v>361</v>
      </c>
      <c r="D89" s="10" t="s">
        <v>44</v>
      </c>
      <c r="E89" s="10" t="s">
        <v>57</v>
      </c>
      <c r="F89" s="10" t="s">
        <v>47</v>
      </c>
      <c r="G89" s="10">
        <v>7500</v>
      </c>
      <c r="H89" s="10">
        <v>3600</v>
      </c>
      <c r="I89" s="10">
        <f t="shared" ref="I89:I90" si="29">+H89+G89</f>
        <v>11100</v>
      </c>
    </row>
    <row r="90" spans="1:9" x14ac:dyDescent="0.3">
      <c r="A90" s="10">
        <v>56</v>
      </c>
      <c r="B90" s="10" t="s">
        <v>463</v>
      </c>
      <c r="C90" s="10" t="s">
        <v>344</v>
      </c>
      <c r="D90" s="10" t="s">
        <v>44</v>
      </c>
      <c r="E90" s="10" t="s">
        <v>77</v>
      </c>
      <c r="F90" s="10" t="s">
        <v>47</v>
      </c>
      <c r="G90" s="10">
        <v>6200</v>
      </c>
      <c r="H90" s="10">
        <v>3600</v>
      </c>
      <c r="I90" s="10">
        <f t="shared" si="29"/>
        <v>9800</v>
      </c>
    </row>
    <row r="91" spans="1:9" x14ac:dyDescent="0.3">
      <c r="A91" s="10">
        <v>57</v>
      </c>
      <c r="B91" s="10" t="s">
        <v>463</v>
      </c>
      <c r="C91" s="10" t="s">
        <v>344</v>
      </c>
      <c r="D91" s="10" t="s">
        <v>44</v>
      </c>
      <c r="E91" s="10" t="s">
        <v>92</v>
      </c>
      <c r="F91" s="10" t="s">
        <v>47</v>
      </c>
      <c r="G91" s="10">
        <v>6200</v>
      </c>
      <c r="H91" s="10">
        <v>3600</v>
      </c>
      <c r="I91" s="10">
        <f t="shared" ref="I91:I94" si="30">+H91+G91</f>
        <v>9800</v>
      </c>
    </row>
    <row r="92" spans="1:9" x14ac:dyDescent="0.3">
      <c r="A92" s="10">
        <v>58</v>
      </c>
      <c r="B92" s="10" t="s">
        <v>463</v>
      </c>
      <c r="C92" s="10" t="s">
        <v>71</v>
      </c>
      <c r="D92" s="10" t="s">
        <v>44</v>
      </c>
      <c r="E92" s="10" t="s">
        <v>125</v>
      </c>
      <c r="F92" s="10" t="s">
        <v>47</v>
      </c>
      <c r="G92" s="10">
        <v>7500</v>
      </c>
      <c r="H92" s="10">
        <v>3600</v>
      </c>
      <c r="I92" s="10">
        <f t="shared" si="30"/>
        <v>11100</v>
      </c>
    </row>
    <row r="93" spans="1:9" x14ac:dyDescent="0.3">
      <c r="A93" s="10">
        <v>59</v>
      </c>
      <c r="B93" s="10" t="s">
        <v>463</v>
      </c>
      <c r="C93" s="10" t="s">
        <v>464</v>
      </c>
      <c r="D93" s="10" t="s">
        <v>44</v>
      </c>
      <c r="E93" s="10" t="s">
        <v>60</v>
      </c>
      <c r="F93" s="10" t="s">
        <v>63</v>
      </c>
      <c r="G93" s="10">
        <v>4000</v>
      </c>
      <c r="H93" s="10">
        <v>600</v>
      </c>
      <c r="I93" s="10">
        <f t="shared" si="30"/>
        <v>4600</v>
      </c>
    </row>
    <row r="94" spans="1:9" x14ac:dyDescent="0.3">
      <c r="A94" s="10">
        <v>60</v>
      </c>
      <c r="B94" s="10" t="s">
        <v>463</v>
      </c>
      <c r="C94" s="10" t="s">
        <v>53</v>
      </c>
      <c r="D94" s="10" t="s">
        <v>44</v>
      </c>
      <c r="E94" s="10" t="s">
        <v>60</v>
      </c>
      <c r="F94" s="10" t="s">
        <v>63</v>
      </c>
      <c r="G94" s="10">
        <v>3500</v>
      </c>
      <c r="H94" s="10">
        <v>600</v>
      </c>
      <c r="I94" s="10">
        <f t="shared" si="30"/>
        <v>4100</v>
      </c>
    </row>
    <row r="95" spans="1:9" x14ac:dyDescent="0.3">
      <c r="A95" s="10">
        <v>61</v>
      </c>
      <c r="B95" s="10" t="s">
        <v>463</v>
      </c>
      <c r="C95" s="10" t="s">
        <v>44</v>
      </c>
      <c r="D95" s="10" t="s">
        <v>65</v>
      </c>
      <c r="E95" s="10" t="s">
        <v>94</v>
      </c>
      <c r="F95" s="10" t="s">
        <v>63</v>
      </c>
      <c r="G95" s="10">
        <v>3500</v>
      </c>
      <c r="H95" s="10">
        <v>600</v>
      </c>
      <c r="I95" s="10">
        <f t="shared" ref="I95:I97" si="31">+H95+G95</f>
        <v>4100</v>
      </c>
    </row>
    <row r="96" spans="1:9" x14ac:dyDescent="0.3">
      <c r="A96" s="10">
        <v>62</v>
      </c>
      <c r="B96" s="10" t="s">
        <v>463</v>
      </c>
      <c r="C96" s="10" t="s">
        <v>65</v>
      </c>
      <c r="D96" s="10" t="s">
        <v>44</v>
      </c>
      <c r="E96" s="10" t="s">
        <v>94</v>
      </c>
      <c r="F96" s="10" t="s">
        <v>63</v>
      </c>
      <c r="G96" s="10">
        <v>4200</v>
      </c>
      <c r="H96" s="10">
        <v>600</v>
      </c>
      <c r="I96" s="10">
        <f t="shared" si="31"/>
        <v>4800</v>
      </c>
    </row>
    <row r="97" spans="1:9" x14ac:dyDescent="0.3">
      <c r="A97" s="10">
        <v>63</v>
      </c>
      <c r="B97" s="10" t="s">
        <v>465</v>
      </c>
      <c r="C97" s="10" t="s">
        <v>44</v>
      </c>
      <c r="D97" s="10" t="s">
        <v>456</v>
      </c>
      <c r="E97" s="10" t="s">
        <v>282</v>
      </c>
      <c r="F97" s="10" t="s">
        <v>47</v>
      </c>
      <c r="G97" s="10">
        <v>7500</v>
      </c>
      <c r="H97" s="10">
        <v>3600</v>
      </c>
      <c r="I97" s="10">
        <f t="shared" si="31"/>
        <v>11100</v>
      </c>
    </row>
    <row r="98" spans="1:9" x14ac:dyDescent="0.3">
      <c r="A98" s="10">
        <v>64</v>
      </c>
      <c r="B98" s="10" t="s">
        <v>465</v>
      </c>
      <c r="C98" s="10" t="s">
        <v>44</v>
      </c>
      <c r="D98" s="10" t="s">
        <v>456</v>
      </c>
      <c r="E98" s="10" t="s">
        <v>92</v>
      </c>
      <c r="F98" s="10" t="s">
        <v>47</v>
      </c>
      <c r="G98" s="10">
        <v>7500</v>
      </c>
      <c r="H98" s="10">
        <v>3600</v>
      </c>
      <c r="I98" s="10">
        <f t="shared" ref="I98" si="32">+H98+G98</f>
        <v>11100</v>
      </c>
    </row>
    <row r="99" spans="1:9" x14ac:dyDescent="0.3">
      <c r="A99" s="10">
        <v>65</v>
      </c>
      <c r="B99" s="10" t="s">
        <v>465</v>
      </c>
      <c r="C99" s="10" t="s">
        <v>44</v>
      </c>
      <c r="D99" s="10" t="s">
        <v>456</v>
      </c>
      <c r="E99" s="10" t="s">
        <v>77</v>
      </c>
      <c r="F99" s="10" t="s">
        <v>47</v>
      </c>
      <c r="G99" s="10">
        <v>7500</v>
      </c>
      <c r="H99" s="10">
        <v>3600</v>
      </c>
      <c r="I99" s="10">
        <f t="shared" ref="I99" si="33">+H99+G99</f>
        <v>11100</v>
      </c>
    </row>
    <row r="100" spans="1:9" x14ac:dyDescent="0.3">
      <c r="A100" s="10">
        <v>66</v>
      </c>
      <c r="B100" s="10" t="s">
        <v>465</v>
      </c>
      <c r="C100" s="10" t="s">
        <v>44</v>
      </c>
      <c r="D100" s="10" t="s">
        <v>456</v>
      </c>
      <c r="E100" s="10" t="s">
        <v>57</v>
      </c>
      <c r="F100" s="10" t="s">
        <v>47</v>
      </c>
      <c r="G100" s="10">
        <v>7500</v>
      </c>
      <c r="H100" s="10">
        <v>3600</v>
      </c>
      <c r="I100" s="10">
        <f t="shared" ref="I100" si="34">+H100+G100</f>
        <v>11100</v>
      </c>
    </row>
    <row r="101" spans="1:9" x14ac:dyDescent="0.3">
      <c r="A101" s="10">
        <v>67</v>
      </c>
      <c r="B101" s="10" t="s">
        <v>465</v>
      </c>
      <c r="C101" s="10" t="s">
        <v>71</v>
      </c>
      <c r="D101" s="10" t="s">
        <v>44</v>
      </c>
      <c r="E101" s="10" t="s">
        <v>57</v>
      </c>
      <c r="F101" s="10" t="s">
        <v>47</v>
      </c>
      <c r="G101" s="10">
        <v>7500</v>
      </c>
      <c r="H101" s="10">
        <v>3600</v>
      </c>
      <c r="I101" s="10">
        <f t="shared" ref="I101" si="35">+H101+G101</f>
        <v>11100</v>
      </c>
    </row>
    <row r="102" spans="1:9" x14ac:dyDescent="0.3">
      <c r="A102" s="10">
        <v>68</v>
      </c>
      <c r="B102" s="10" t="s">
        <v>465</v>
      </c>
      <c r="C102" s="10" t="s">
        <v>71</v>
      </c>
      <c r="D102" s="10" t="s">
        <v>44</v>
      </c>
      <c r="E102" s="10" t="s">
        <v>77</v>
      </c>
      <c r="F102" s="10" t="s">
        <v>47</v>
      </c>
      <c r="G102" s="10">
        <v>7500</v>
      </c>
      <c r="H102" s="10">
        <v>3600</v>
      </c>
      <c r="I102" s="10">
        <f t="shared" ref="I102" si="36">+H102+G102</f>
        <v>11100</v>
      </c>
    </row>
    <row r="103" spans="1:9" x14ac:dyDescent="0.3">
      <c r="A103" s="10">
        <v>69</v>
      </c>
      <c r="B103" s="10" t="s">
        <v>465</v>
      </c>
      <c r="C103" s="10" t="s">
        <v>43</v>
      </c>
      <c r="D103" s="10" t="s">
        <v>44</v>
      </c>
      <c r="E103" s="10" t="s">
        <v>466</v>
      </c>
      <c r="F103" s="10" t="s">
        <v>47</v>
      </c>
      <c r="G103" s="10">
        <v>7500</v>
      </c>
      <c r="H103" s="10">
        <v>3600</v>
      </c>
      <c r="I103" s="10">
        <f t="shared" ref="I103:I105" si="37">+H103+G103</f>
        <v>11100</v>
      </c>
    </row>
    <row r="104" spans="1:9" x14ac:dyDescent="0.3">
      <c r="A104" s="10">
        <v>70</v>
      </c>
      <c r="B104" s="10" t="s">
        <v>465</v>
      </c>
      <c r="C104" s="10" t="s">
        <v>44</v>
      </c>
      <c r="D104" s="10" t="s">
        <v>124</v>
      </c>
      <c r="E104" s="10" t="s">
        <v>125</v>
      </c>
      <c r="F104" s="10" t="s">
        <v>47</v>
      </c>
      <c r="G104" s="10">
        <v>5900</v>
      </c>
      <c r="H104" s="10">
        <v>3600</v>
      </c>
      <c r="I104" s="10">
        <f t="shared" si="37"/>
        <v>9500</v>
      </c>
    </row>
    <row r="105" spans="1:9" x14ac:dyDescent="0.3">
      <c r="A105" s="10">
        <v>71</v>
      </c>
      <c r="B105" s="10" t="s">
        <v>465</v>
      </c>
      <c r="C105" s="10" t="s">
        <v>44</v>
      </c>
      <c r="D105" s="10" t="s">
        <v>124</v>
      </c>
      <c r="E105" s="10" t="s">
        <v>467</v>
      </c>
      <c r="F105" s="10" t="s">
        <v>47</v>
      </c>
      <c r="G105" s="10">
        <v>5900</v>
      </c>
      <c r="H105" s="10">
        <v>3600</v>
      </c>
      <c r="I105" s="10">
        <f t="shared" si="37"/>
        <v>9500</v>
      </c>
    </row>
    <row r="106" spans="1:9" x14ac:dyDescent="0.3">
      <c r="A106" s="10">
        <v>72</v>
      </c>
      <c r="B106" s="10" t="s">
        <v>465</v>
      </c>
      <c r="C106" s="10" t="s">
        <v>44</v>
      </c>
      <c r="D106" s="10" t="s">
        <v>124</v>
      </c>
      <c r="E106" s="10" t="s">
        <v>237</v>
      </c>
      <c r="F106" s="10" t="s">
        <v>47</v>
      </c>
      <c r="G106" s="10">
        <v>5900</v>
      </c>
      <c r="H106" s="10">
        <v>3600</v>
      </c>
      <c r="I106" s="10">
        <f t="shared" si="2"/>
        <v>9500</v>
      </c>
    </row>
    <row r="107" spans="1:9" x14ac:dyDescent="0.3">
      <c r="A107" s="10">
        <v>73</v>
      </c>
      <c r="B107" s="10" t="s">
        <v>444</v>
      </c>
      <c r="C107" s="10" t="s">
        <v>71</v>
      </c>
      <c r="D107" s="10" t="s">
        <v>44</v>
      </c>
      <c r="E107" s="10" t="s">
        <v>77</v>
      </c>
      <c r="F107" s="10" t="s">
        <v>47</v>
      </c>
      <c r="G107" s="10">
        <v>7500</v>
      </c>
      <c r="H107" s="10">
        <v>3600</v>
      </c>
      <c r="I107" s="10">
        <f t="shared" ref="I107" si="38">+H107+G107</f>
        <v>11100</v>
      </c>
    </row>
    <row r="108" spans="1:9" x14ac:dyDescent="0.3">
      <c r="A108" s="10">
        <v>74</v>
      </c>
      <c r="B108" s="10" t="s">
        <v>444</v>
      </c>
      <c r="C108" s="10" t="s">
        <v>71</v>
      </c>
      <c r="D108" s="10" t="s">
        <v>44</v>
      </c>
      <c r="E108" s="10" t="s">
        <v>282</v>
      </c>
      <c r="F108" s="10" t="s">
        <v>47</v>
      </c>
      <c r="G108" s="10">
        <v>7500</v>
      </c>
      <c r="H108" s="10">
        <v>3600</v>
      </c>
      <c r="I108" s="10">
        <f t="shared" ref="I108" si="39">+H108+G108</f>
        <v>11100</v>
      </c>
    </row>
    <row r="109" spans="1:9" x14ac:dyDescent="0.3">
      <c r="F109" s="28" t="s">
        <v>41</v>
      </c>
      <c r="G109" s="38">
        <f>SUM(G35:G108)</f>
        <v>514600</v>
      </c>
      <c r="H109" s="38">
        <f>SUM(H35:H108)</f>
        <v>241800</v>
      </c>
      <c r="I109" s="38">
        <f>SUM(I35:I108)</f>
        <v>756400</v>
      </c>
    </row>
  </sheetData>
  <autoFilter ref="A2:I30" xr:uid="{04AF77B2-480B-450F-B17C-E028B928FD9A}"/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9F9B-86FD-4D61-9BE4-7441F316A59E}">
  <sheetPr>
    <pageSetUpPr fitToPage="1"/>
  </sheetPr>
  <dimension ref="A1:I103"/>
  <sheetViews>
    <sheetView showGridLines="0" topLeftCell="A38" zoomScale="94" zoomScaleNormal="167" workbookViewId="0">
      <selection activeCell="D100" sqref="D100"/>
    </sheetView>
  </sheetViews>
  <sheetFormatPr defaultRowHeight="14.4" x14ac:dyDescent="0.3"/>
  <cols>
    <col min="1" max="1" width="5.77734375" bestFit="1" customWidth="1"/>
    <col min="3" max="3" width="26.77734375" customWidth="1"/>
    <col min="4" max="4" width="15.21875" customWidth="1"/>
    <col min="5" max="5" width="13.77734375" customWidth="1"/>
    <col min="6" max="6" width="11" bestFit="1" customWidth="1"/>
    <col min="9" max="9" width="9.77734375" customWidth="1"/>
  </cols>
  <sheetData>
    <row r="1" spans="1:9" x14ac:dyDescent="0.3">
      <c r="A1" s="8" t="s">
        <v>470</v>
      </c>
    </row>
    <row r="2" spans="1:9" ht="34.5" customHeight="1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452</v>
      </c>
      <c r="C3" s="10" t="s">
        <v>43</v>
      </c>
      <c r="D3" s="10" t="s">
        <v>44</v>
      </c>
      <c r="E3" s="10" t="s">
        <v>77</v>
      </c>
      <c r="F3" s="10" t="s">
        <v>47</v>
      </c>
      <c r="G3" s="10">
        <v>7500</v>
      </c>
      <c r="H3" s="10">
        <v>3600</v>
      </c>
      <c r="I3" s="10">
        <f>+H3+G3</f>
        <v>11100</v>
      </c>
    </row>
    <row r="4" spans="1:9" x14ac:dyDescent="0.3">
      <c r="A4" s="10">
        <v>2</v>
      </c>
      <c r="B4" s="10" t="s">
        <v>452</v>
      </c>
      <c r="C4" s="10" t="s">
        <v>43</v>
      </c>
      <c r="D4" s="10" t="s">
        <v>44</v>
      </c>
      <c r="E4" s="10" t="s">
        <v>57</v>
      </c>
      <c r="F4" s="10" t="s">
        <v>47</v>
      </c>
      <c r="G4" s="10">
        <v>7500</v>
      </c>
      <c r="H4" s="10">
        <v>3600</v>
      </c>
      <c r="I4" s="10">
        <f t="shared" ref="I4:I30" si="0">+H4+G4</f>
        <v>11100</v>
      </c>
    </row>
    <row r="5" spans="1:9" x14ac:dyDescent="0.3">
      <c r="A5" s="10">
        <v>3</v>
      </c>
      <c r="B5" s="10" t="s">
        <v>452</v>
      </c>
      <c r="C5" s="10" t="s">
        <v>71</v>
      </c>
      <c r="D5" s="10" t="s">
        <v>44</v>
      </c>
      <c r="E5" s="10" t="s">
        <v>282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9" x14ac:dyDescent="0.3">
      <c r="A6" s="10">
        <v>4</v>
      </c>
      <c r="B6" s="10" t="s">
        <v>471</v>
      </c>
      <c r="C6" s="10" t="s">
        <v>43</v>
      </c>
      <c r="D6" s="10" t="s">
        <v>44</v>
      </c>
      <c r="E6" s="10" t="s">
        <v>77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9" x14ac:dyDescent="0.3">
      <c r="A7" s="10">
        <v>5</v>
      </c>
      <c r="B7" s="10" t="s">
        <v>471</v>
      </c>
      <c r="C7" s="10" t="s">
        <v>71</v>
      </c>
      <c r="D7" s="10" t="s">
        <v>44</v>
      </c>
      <c r="E7" s="10" t="s">
        <v>92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9" x14ac:dyDescent="0.3">
      <c r="A8" s="10">
        <v>6</v>
      </c>
      <c r="B8" s="10" t="s">
        <v>471</v>
      </c>
      <c r="C8" s="10" t="s">
        <v>361</v>
      </c>
      <c r="D8" s="10" t="s">
        <v>44</v>
      </c>
      <c r="E8" s="10" t="s">
        <v>282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9" x14ac:dyDescent="0.3">
      <c r="A9" s="10">
        <v>7</v>
      </c>
      <c r="B9" s="10" t="s">
        <v>471</v>
      </c>
      <c r="C9" s="10" t="s">
        <v>44</v>
      </c>
      <c r="D9" s="10" t="s">
        <v>65</v>
      </c>
      <c r="E9" s="10" t="s">
        <v>57</v>
      </c>
      <c r="F9" s="10" t="s">
        <v>47</v>
      </c>
      <c r="G9" s="10">
        <v>6200</v>
      </c>
      <c r="H9" s="10">
        <v>3600</v>
      </c>
      <c r="I9" s="10">
        <f t="shared" si="0"/>
        <v>9800</v>
      </c>
    </row>
    <row r="10" spans="1:9" x14ac:dyDescent="0.3">
      <c r="A10" s="10">
        <v>8</v>
      </c>
      <c r="B10" s="10" t="s">
        <v>471</v>
      </c>
      <c r="C10" s="10" t="s">
        <v>44</v>
      </c>
      <c r="D10" s="10" t="s">
        <v>124</v>
      </c>
      <c r="E10" s="10" t="s">
        <v>77</v>
      </c>
      <c r="F10" s="10" t="s">
        <v>47</v>
      </c>
      <c r="G10" s="10">
        <v>5900</v>
      </c>
      <c r="H10" s="10">
        <v>3600</v>
      </c>
      <c r="I10" s="10">
        <f t="shared" si="0"/>
        <v>9500</v>
      </c>
    </row>
    <row r="11" spans="1:9" x14ac:dyDescent="0.3">
      <c r="A11" s="10">
        <v>9</v>
      </c>
      <c r="B11" s="10" t="s">
        <v>472</v>
      </c>
      <c r="C11" s="10" t="s">
        <v>44</v>
      </c>
      <c r="D11" s="10" t="s">
        <v>473</v>
      </c>
      <c r="E11" s="10" t="s">
        <v>282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9" x14ac:dyDescent="0.3">
      <c r="A12" s="10">
        <v>10</v>
      </c>
      <c r="B12" s="10" t="s">
        <v>472</v>
      </c>
      <c r="C12" s="10" t="s">
        <v>44</v>
      </c>
      <c r="D12" s="10" t="s">
        <v>473</v>
      </c>
      <c r="E12" s="10" t="s">
        <v>77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9" x14ac:dyDescent="0.3">
      <c r="A13" s="10">
        <v>11</v>
      </c>
      <c r="B13" s="10" t="s">
        <v>472</v>
      </c>
      <c r="C13" s="10" t="s">
        <v>474</v>
      </c>
      <c r="D13" s="10" t="s">
        <v>44</v>
      </c>
      <c r="E13" s="10" t="s">
        <v>94</v>
      </c>
      <c r="F13" s="10" t="s">
        <v>63</v>
      </c>
      <c r="G13" s="10">
        <v>4000</v>
      </c>
      <c r="H13" s="10">
        <v>600</v>
      </c>
      <c r="I13" s="10">
        <f t="shared" si="0"/>
        <v>4600</v>
      </c>
    </row>
    <row r="14" spans="1:9" x14ac:dyDescent="0.3">
      <c r="A14" s="10">
        <v>12</v>
      </c>
      <c r="B14" s="10" t="s">
        <v>472</v>
      </c>
      <c r="C14" s="10" t="s">
        <v>44</v>
      </c>
      <c r="D14" s="10" t="s">
        <v>124</v>
      </c>
      <c r="E14" s="10" t="s">
        <v>94</v>
      </c>
      <c r="F14" s="10" t="s">
        <v>63</v>
      </c>
      <c r="G14" s="10">
        <v>3500</v>
      </c>
      <c r="H14" s="10">
        <v>600</v>
      </c>
      <c r="I14" s="10">
        <f t="shared" si="0"/>
        <v>4100</v>
      </c>
    </row>
    <row r="15" spans="1:9" x14ac:dyDescent="0.3">
      <c r="A15" s="10">
        <v>13</v>
      </c>
      <c r="B15" s="10" t="s">
        <v>475</v>
      </c>
      <c r="C15" s="10" t="s">
        <v>44</v>
      </c>
      <c r="D15" s="10" t="s">
        <v>473</v>
      </c>
      <c r="E15" s="10" t="s">
        <v>57</v>
      </c>
      <c r="F15" s="10" t="s">
        <v>47</v>
      </c>
      <c r="G15" s="10">
        <v>7500</v>
      </c>
      <c r="H15" s="10">
        <v>3600</v>
      </c>
      <c r="I15" s="10">
        <f t="shared" si="0"/>
        <v>11100</v>
      </c>
    </row>
    <row r="16" spans="1:9" x14ac:dyDescent="0.3">
      <c r="A16" s="10">
        <v>14</v>
      </c>
      <c r="B16" s="10" t="s">
        <v>475</v>
      </c>
      <c r="C16" s="10" t="s">
        <v>44</v>
      </c>
      <c r="D16" s="10" t="s">
        <v>473</v>
      </c>
      <c r="E16" s="10" t="s">
        <v>282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10" t="s">
        <v>475</v>
      </c>
      <c r="C17" s="10" t="s">
        <v>44</v>
      </c>
      <c r="D17" s="10" t="s">
        <v>473</v>
      </c>
      <c r="E17" s="10" t="s">
        <v>57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10" t="s">
        <v>475</v>
      </c>
      <c r="C18" s="10" t="s">
        <v>71</v>
      </c>
      <c r="D18" s="10" t="s">
        <v>44</v>
      </c>
      <c r="E18" s="10" t="s">
        <v>77</v>
      </c>
      <c r="F18" s="10" t="s">
        <v>47</v>
      </c>
      <c r="G18" s="10">
        <v>7500</v>
      </c>
      <c r="H18" s="10">
        <v>3600</v>
      </c>
      <c r="I18" s="10">
        <f t="shared" si="0"/>
        <v>11100</v>
      </c>
    </row>
    <row r="19" spans="1:9" x14ac:dyDescent="0.3">
      <c r="A19" s="10">
        <v>17</v>
      </c>
      <c r="B19" s="10" t="s">
        <v>475</v>
      </c>
      <c r="C19" s="10" t="s">
        <v>71</v>
      </c>
      <c r="D19" s="10" t="s">
        <v>44</v>
      </c>
      <c r="E19" s="10" t="s">
        <v>125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10" t="s">
        <v>475</v>
      </c>
      <c r="C20" s="10" t="s">
        <v>44</v>
      </c>
      <c r="D20" s="10" t="s">
        <v>124</v>
      </c>
      <c r="E20" s="10" t="s">
        <v>77</v>
      </c>
      <c r="F20" s="10" t="s">
        <v>47</v>
      </c>
      <c r="G20" s="10">
        <v>5900</v>
      </c>
      <c r="H20" s="10">
        <v>3600</v>
      </c>
      <c r="I20" s="10">
        <f t="shared" si="0"/>
        <v>9500</v>
      </c>
    </row>
    <row r="21" spans="1:9" x14ac:dyDescent="0.3">
      <c r="A21" s="10">
        <v>19</v>
      </c>
      <c r="B21" s="10" t="s">
        <v>476</v>
      </c>
      <c r="C21" s="10" t="s">
        <v>43</v>
      </c>
      <c r="D21" s="10" t="s">
        <v>44</v>
      </c>
      <c r="E21" s="10" t="s">
        <v>77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10" t="s">
        <v>476</v>
      </c>
      <c r="C22" s="10" t="s">
        <v>43</v>
      </c>
      <c r="D22" s="10" t="s">
        <v>44</v>
      </c>
      <c r="E22" s="10" t="s">
        <v>92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10" t="s">
        <v>476</v>
      </c>
      <c r="C23" s="10" t="s">
        <v>71</v>
      </c>
      <c r="D23" s="10" t="s">
        <v>44</v>
      </c>
      <c r="E23" s="10" t="s">
        <v>477</v>
      </c>
      <c r="F23" s="10" t="s">
        <v>47</v>
      </c>
      <c r="G23" s="10">
        <v>7500</v>
      </c>
      <c r="H23" s="10">
        <v>3600</v>
      </c>
      <c r="I23" s="10">
        <f>+H23+G23</f>
        <v>11100</v>
      </c>
    </row>
    <row r="24" spans="1:9" x14ac:dyDescent="0.3">
      <c r="A24" s="10">
        <v>22</v>
      </c>
      <c r="B24" s="10" t="s">
        <v>476</v>
      </c>
      <c r="C24" s="10" t="s">
        <v>44</v>
      </c>
      <c r="D24" s="10" t="s">
        <v>473</v>
      </c>
      <c r="E24" s="10" t="s">
        <v>282</v>
      </c>
      <c r="F24" s="10" t="s">
        <v>47</v>
      </c>
      <c r="G24" s="10">
        <v>7500</v>
      </c>
      <c r="H24" s="10">
        <v>3600</v>
      </c>
      <c r="I24" s="10">
        <f t="shared" si="0"/>
        <v>11100</v>
      </c>
    </row>
    <row r="25" spans="1:9" x14ac:dyDescent="0.3">
      <c r="A25" s="10">
        <v>23</v>
      </c>
      <c r="B25" s="10" t="s">
        <v>476</v>
      </c>
      <c r="C25" s="10" t="s">
        <v>44</v>
      </c>
      <c r="D25" s="10" t="s">
        <v>473</v>
      </c>
      <c r="E25" s="10" t="s">
        <v>478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10" t="s">
        <v>476</v>
      </c>
      <c r="C26" s="10" t="s">
        <v>44</v>
      </c>
      <c r="D26" s="10" t="s">
        <v>473</v>
      </c>
      <c r="E26" s="10" t="s">
        <v>92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10" t="s">
        <v>476</v>
      </c>
      <c r="C27" s="10" t="s">
        <v>44</v>
      </c>
      <c r="D27" s="10" t="s">
        <v>124</v>
      </c>
      <c r="E27" s="10" t="s">
        <v>77</v>
      </c>
      <c r="F27" s="10" t="s">
        <v>47</v>
      </c>
      <c r="G27" s="10">
        <v>5900</v>
      </c>
      <c r="H27" s="10">
        <v>3600</v>
      </c>
      <c r="I27" s="10">
        <f t="shared" si="0"/>
        <v>9500</v>
      </c>
    </row>
    <row r="28" spans="1:9" x14ac:dyDescent="0.3">
      <c r="A28" s="10">
        <v>26</v>
      </c>
      <c r="B28" s="10" t="s">
        <v>476</v>
      </c>
      <c r="C28" s="10" t="s">
        <v>44</v>
      </c>
      <c r="D28" s="10" t="s">
        <v>65</v>
      </c>
      <c r="E28" s="10" t="s">
        <v>60</v>
      </c>
      <c r="F28" s="10" t="s">
        <v>61</v>
      </c>
      <c r="G28" s="10">
        <v>5000</v>
      </c>
      <c r="H28" s="10">
        <v>1200</v>
      </c>
      <c r="I28" s="10">
        <f t="shared" si="0"/>
        <v>6200</v>
      </c>
    </row>
    <row r="29" spans="1:9" x14ac:dyDescent="0.3">
      <c r="A29" s="10">
        <v>27</v>
      </c>
      <c r="B29" s="10" t="s">
        <v>479</v>
      </c>
      <c r="C29" s="10" t="s">
        <v>44</v>
      </c>
      <c r="D29" s="10" t="s">
        <v>65</v>
      </c>
      <c r="E29" s="10" t="s">
        <v>60</v>
      </c>
      <c r="F29" s="10" t="s">
        <v>61</v>
      </c>
      <c r="G29" s="10">
        <v>5000</v>
      </c>
      <c r="H29" s="10">
        <v>1200</v>
      </c>
      <c r="I29" s="10">
        <f t="shared" si="0"/>
        <v>6200</v>
      </c>
    </row>
    <row r="30" spans="1:9" x14ac:dyDescent="0.3">
      <c r="A30" s="10">
        <v>28</v>
      </c>
      <c r="B30" s="10" t="s">
        <v>479</v>
      </c>
      <c r="C30" s="10" t="s">
        <v>71</v>
      </c>
      <c r="D30" s="10" t="s">
        <v>44</v>
      </c>
      <c r="E30" s="10" t="s">
        <v>77</v>
      </c>
      <c r="F30" s="10" t="s">
        <v>47</v>
      </c>
      <c r="G30" s="10">
        <v>7500</v>
      </c>
      <c r="H30" s="10">
        <v>3600</v>
      </c>
      <c r="I30" s="10">
        <f t="shared" si="0"/>
        <v>11100</v>
      </c>
    </row>
    <row r="31" spans="1:9" x14ac:dyDescent="0.3">
      <c r="A31" s="10">
        <v>29</v>
      </c>
      <c r="B31" s="10" t="s">
        <v>479</v>
      </c>
      <c r="C31" s="10" t="s">
        <v>43</v>
      </c>
      <c r="D31" s="10" t="s">
        <v>44</v>
      </c>
      <c r="E31" s="10" t="s">
        <v>282</v>
      </c>
      <c r="F31" s="10" t="s">
        <v>47</v>
      </c>
      <c r="G31" s="10">
        <v>7500</v>
      </c>
      <c r="H31" s="10">
        <v>3600</v>
      </c>
      <c r="I31" s="10">
        <f t="shared" ref="I31" si="1">+H31+G31</f>
        <v>11100</v>
      </c>
    </row>
    <row r="32" spans="1:9" x14ac:dyDescent="0.3">
      <c r="A32" s="10">
        <v>30</v>
      </c>
      <c r="B32" s="10" t="s">
        <v>479</v>
      </c>
      <c r="C32" s="10" t="s">
        <v>44</v>
      </c>
      <c r="D32" s="10" t="s">
        <v>473</v>
      </c>
      <c r="E32" s="10" t="s">
        <v>282</v>
      </c>
      <c r="F32" s="10" t="s">
        <v>47</v>
      </c>
      <c r="G32" s="10">
        <v>7500</v>
      </c>
      <c r="H32" s="10">
        <v>3600</v>
      </c>
      <c r="I32" s="10">
        <f t="shared" ref="I32" si="2">+H32+G32</f>
        <v>11100</v>
      </c>
    </row>
    <row r="33" spans="1:9" x14ac:dyDescent="0.3">
      <c r="A33" s="10">
        <v>31</v>
      </c>
      <c r="B33" s="10" t="s">
        <v>480</v>
      </c>
      <c r="C33" s="10" t="s">
        <v>43</v>
      </c>
      <c r="D33" s="10" t="s">
        <v>44</v>
      </c>
      <c r="E33" s="10" t="s">
        <v>77</v>
      </c>
      <c r="F33" s="10" t="s">
        <v>47</v>
      </c>
      <c r="G33" s="10">
        <v>7500</v>
      </c>
      <c r="H33" s="10">
        <v>3600</v>
      </c>
      <c r="I33" s="10">
        <f t="shared" ref="I33" si="3">+H33+G33</f>
        <v>11100</v>
      </c>
    </row>
    <row r="34" spans="1:9" x14ac:dyDescent="0.3">
      <c r="A34" s="10">
        <v>32</v>
      </c>
      <c r="B34" s="10" t="s">
        <v>480</v>
      </c>
      <c r="C34" s="10" t="s">
        <v>43</v>
      </c>
      <c r="D34" s="10" t="s">
        <v>44</v>
      </c>
      <c r="E34" s="10" t="s">
        <v>282</v>
      </c>
      <c r="F34" s="10" t="s">
        <v>47</v>
      </c>
      <c r="G34" s="10">
        <v>7500</v>
      </c>
      <c r="H34" s="10">
        <v>3600</v>
      </c>
      <c r="I34" s="10">
        <f t="shared" ref="I34" si="4">+H34+G34</f>
        <v>11100</v>
      </c>
    </row>
    <row r="35" spans="1:9" x14ac:dyDescent="0.3">
      <c r="A35" s="10">
        <v>33</v>
      </c>
      <c r="B35" s="10" t="s">
        <v>480</v>
      </c>
      <c r="C35" s="10" t="s">
        <v>71</v>
      </c>
      <c r="D35" s="10" t="s">
        <v>44</v>
      </c>
      <c r="E35" s="10" t="s">
        <v>92</v>
      </c>
      <c r="F35" s="10" t="s">
        <v>47</v>
      </c>
      <c r="G35" s="10">
        <v>7500</v>
      </c>
      <c r="H35" s="10">
        <v>3600</v>
      </c>
      <c r="I35" s="10">
        <f t="shared" ref="I35" si="5">+H35+G35</f>
        <v>11100</v>
      </c>
    </row>
    <row r="36" spans="1:9" x14ac:dyDescent="0.3">
      <c r="A36" s="10">
        <v>34</v>
      </c>
      <c r="B36" s="10" t="s">
        <v>480</v>
      </c>
      <c r="C36" s="10" t="s">
        <v>71</v>
      </c>
      <c r="D36" s="10" t="s">
        <v>44</v>
      </c>
      <c r="E36" s="10" t="s">
        <v>125</v>
      </c>
      <c r="F36" s="10" t="s">
        <v>47</v>
      </c>
      <c r="G36" s="10">
        <v>7500</v>
      </c>
      <c r="H36" s="10">
        <v>3600</v>
      </c>
      <c r="I36" s="10">
        <f t="shared" ref="I36" si="6">+H36+G36</f>
        <v>11100</v>
      </c>
    </row>
    <row r="37" spans="1:9" x14ac:dyDescent="0.3">
      <c r="A37" s="10">
        <v>35</v>
      </c>
      <c r="B37" s="10" t="s">
        <v>481</v>
      </c>
      <c r="C37" s="10" t="s">
        <v>44</v>
      </c>
      <c r="D37" s="10" t="s">
        <v>124</v>
      </c>
      <c r="E37" s="10" t="s">
        <v>77</v>
      </c>
      <c r="F37" s="10" t="s">
        <v>47</v>
      </c>
      <c r="G37" s="10">
        <v>5900</v>
      </c>
      <c r="H37" s="10">
        <v>3600</v>
      </c>
      <c r="I37" s="10">
        <f t="shared" ref="I37:I38" si="7">+H37+G37</f>
        <v>9500</v>
      </c>
    </row>
    <row r="38" spans="1:9" x14ac:dyDescent="0.3">
      <c r="A38" s="10">
        <v>36</v>
      </c>
      <c r="B38" s="10" t="s">
        <v>482</v>
      </c>
      <c r="C38" s="10" t="s">
        <v>43</v>
      </c>
      <c r="D38" s="10" t="s">
        <v>44</v>
      </c>
      <c r="E38" s="10" t="s">
        <v>77</v>
      </c>
      <c r="F38" s="10" t="s">
        <v>47</v>
      </c>
      <c r="G38" s="10">
        <v>7500</v>
      </c>
      <c r="H38" s="10">
        <v>3600</v>
      </c>
      <c r="I38" s="10">
        <f t="shared" si="7"/>
        <v>11100</v>
      </c>
    </row>
    <row r="39" spans="1:9" x14ac:dyDescent="0.3">
      <c r="A39" s="10">
        <v>37</v>
      </c>
      <c r="B39" s="10" t="s">
        <v>482</v>
      </c>
      <c r="C39" s="10" t="s">
        <v>71</v>
      </c>
      <c r="D39" s="10" t="s">
        <v>44</v>
      </c>
      <c r="E39" s="10" t="s">
        <v>57</v>
      </c>
      <c r="F39" s="10" t="s">
        <v>47</v>
      </c>
      <c r="G39" s="10">
        <v>7500</v>
      </c>
      <c r="H39" s="10">
        <v>3600</v>
      </c>
      <c r="I39" s="10">
        <f t="shared" ref="I39" si="8">+H39+G39</f>
        <v>11100</v>
      </c>
    </row>
    <row r="40" spans="1:9" x14ac:dyDescent="0.3">
      <c r="A40" s="10">
        <v>38</v>
      </c>
      <c r="B40" s="10" t="s">
        <v>482</v>
      </c>
      <c r="C40" s="10" t="s">
        <v>71</v>
      </c>
      <c r="D40" s="10" t="s">
        <v>44</v>
      </c>
      <c r="E40" s="10" t="s">
        <v>282</v>
      </c>
      <c r="F40" s="10" t="s">
        <v>47</v>
      </c>
      <c r="G40" s="10">
        <v>7500</v>
      </c>
      <c r="H40" s="10">
        <v>3600</v>
      </c>
      <c r="I40" s="10">
        <f t="shared" ref="I40:I41" si="9">+H40+G40</f>
        <v>11100</v>
      </c>
    </row>
    <row r="41" spans="1:9" x14ac:dyDescent="0.3">
      <c r="A41" s="10">
        <v>39</v>
      </c>
      <c r="B41" s="10" t="s">
        <v>482</v>
      </c>
      <c r="C41" s="10" t="s">
        <v>483</v>
      </c>
      <c r="D41" s="10" t="s">
        <v>44</v>
      </c>
      <c r="E41" s="10" t="s">
        <v>60</v>
      </c>
      <c r="F41" s="10" t="s">
        <v>61</v>
      </c>
      <c r="G41" s="10">
        <v>5200</v>
      </c>
      <c r="H41" s="10">
        <v>1200</v>
      </c>
      <c r="I41" s="10">
        <f t="shared" si="9"/>
        <v>6400</v>
      </c>
    </row>
    <row r="42" spans="1:9" x14ac:dyDescent="0.3">
      <c r="A42" s="10">
        <v>40</v>
      </c>
      <c r="B42" s="10" t="s">
        <v>484</v>
      </c>
      <c r="C42" s="10" t="s">
        <v>43</v>
      </c>
      <c r="D42" s="10" t="s">
        <v>44</v>
      </c>
      <c r="E42" s="10" t="s">
        <v>77</v>
      </c>
      <c r="F42" s="10" t="s">
        <v>47</v>
      </c>
      <c r="G42" s="10">
        <v>7500</v>
      </c>
      <c r="H42" s="10">
        <v>3600</v>
      </c>
      <c r="I42" s="10">
        <f t="shared" ref="I42" si="10">+H42+G42</f>
        <v>11100</v>
      </c>
    </row>
    <row r="43" spans="1:9" x14ac:dyDescent="0.3">
      <c r="A43" s="10">
        <v>41</v>
      </c>
      <c r="B43" s="10" t="s">
        <v>484</v>
      </c>
      <c r="C43" s="10" t="s">
        <v>43</v>
      </c>
      <c r="D43" s="10" t="s">
        <v>44</v>
      </c>
      <c r="E43" s="10" t="s">
        <v>92</v>
      </c>
      <c r="F43" s="10" t="s">
        <v>47</v>
      </c>
      <c r="G43" s="10">
        <v>7500</v>
      </c>
      <c r="H43" s="10">
        <v>3600</v>
      </c>
      <c r="I43" s="10">
        <f t="shared" ref="I43" si="11">+H43+G43</f>
        <v>11100</v>
      </c>
    </row>
    <row r="44" spans="1:9" x14ac:dyDescent="0.3">
      <c r="A44" s="10">
        <v>42</v>
      </c>
      <c r="B44" s="10" t="s">
        <v>484</v>
      </c>
      <c r="C44" s="10" t="s">
        <v>71</v>
      </c>
      <c r="D44" s="10" t="s">
        <v>44</v>
      </c>
      <c r="E44" s="10" t="s">
        <v>282</v>
      </c>
      <c r="F44" s="10" t="s">
        <v>47</v>
      </c>
      <c r="G44" s="10">
        <v>7500</v>
      </c>
      <c r="H44" s="10">
        <v>3600</v>
      </c>
      <c r="I44" s="10">
        <f t="shared" ref="I44" si="12">+H44+G44</f>
        <v>11100</v>
      </c>
    </row>
    <row r="45" spans="1:9" x14ac:dyDescent="0.3">
      <c r="A45" s="10">
        <v>43</v>
      </c>
      <c r="B45" s="10" t="s">
        <v>484</v>
      </c>
      <c r="C45" s="10" t="s">
        <v>71</v>
      </c>
      <c r="D45" s="10" t="s">
        <v>44</v>
      </c>
      <c r="E45" s="10" t="s">
        <v>57</v>
      </c>
      <c r="F45" s="10" t="s">
        <v>47</v>
      </c>
      <c r="G45" s="10">
        <v>7500</v>
      </c>
      <c r="H45" s="10">
        <v>3600</v>
      </c>
      <c r="I45" s="10">
        <f t="shared" ref="I45:I46" si="13">+H45+G45</f>
        <v>11100</v>
      </c>
    </row>
    <row r="46" spans="1:9" x14ac:dyDescent="0.3">
      <c r="A46" s="10">
        <v>44</v>
      </c>
      <c r="B46" s="10" t="s">
        <v>484</v>
      </c>
      <c r="C46" s="10" t="s">
        <v>141</v>
      </c>
      <c r="D46" s="10" t="s">
        <v>44</v>
      </c>
      <c r="E46" s="10" t="s">
        <v>60</v>
      </c>
      <c r="F46" s="10" t="s">
        <v>63</v>
      </c>
      <c r="G46" s="10">
        <v>3500</v>
      </c>
      <c r="H46" s="10">
        <v>600</v>
      </c>
      <c r="I46" s="10">
        <f t="shared" si="13"/>
        <v>4100</v>
      </c>
    </row>
    <row r="47" spans="1:9" x14ac:dyDescent="0.3">
      <c r="A47" s="10">
        <v>45</v>
      </c>
      <c r="B47" s="10" t="s">
        <v>484</v>
      </c>
      <c r="C47" s="10" t="s">
        <v>44</v>
      </c>
      <c r="D47" s="10" t="s">
        <v>124</v>
      </c>
      <c r="E47" s="10" t="s">
        <v>60</v>
      </c>
      <c r="F47" s="10" t="s">
        <v>63</v>
      </c>
      <c r="G47" s="10">
        <v>3500</v>
      </c>
      <c r="H47" s="10">
        <v>600</v>
      </c>
      <c r="I47" s="10">
        <f t="shared" ref="I47" si="14">+H47+G47</f>
        <v>4100</v>
      </c>
    </row>
    <row r="48" spans="1:9" x14ac:dyDescent="0.3">
      <c r="F48" s="28" t="s">
        <v>41</v>
      </c>
      <c r="G48" s="38">
        <f>SUM(G3:G47)</f>
        <v>307000</v>
      </c>
      <c r="H48" s="38">
        <f>SUM(H3:H47)</f>
        <v>142800</v>
      </c>
      <c r="I48" s="38">
        <f>SUM(I3:I47)</f>
        <v>449800</v>
      </c>
    </row>
    <row r="52" spans="1:9" x14ac:dyDescent="0.3">
      <c r="A52" s="8" t="s">
        <v>485</v>
      </c>
    </row>
    <row r="53" spans="1:9" ht="28.8" x14ac:dyDescent="0.3">
      <c r="A53" s="26" t="s">
        <v>25</v>
      </c>
      <c r="B53" s="26" t="s">
        <v>26</v>
      </c>
      <c r="C53" s="26" t="s">
        <v>27</v>
      </c>
      <c r="D53" s="26" t="s">
        <v>28</v>
      </c>
      <c r="E53" s="26" t="s">
        <v>30</v>
      </c>
      <c r="F53" s="27" t="s">
        <v>34</v>
      </c>
      <c r="G53" s="26" t="s">
        <v>35</v>
      </c>
      <c r="H53" s="26" t="s">
        <v>36</v>
      </c>
      <c r="I53" s="27" t="s">
        <v>37</v>
      </c>
    </row>
    <row r="54" spans="1:9" x14ac:dyDescent="0.3">
      <c r="A54" s="10">
        <v>1</v>
      </c>
      <c r="B54" s="10" t="s">
        <v>486</v>
      </c>
      <c r="C54" s="10" t="s">
        <v>43</v>
      </c>
      <c r="D54" s="10" t="s">
        <v>44</v>
      </c>
      <c r="E54" s="10" t="s">
        <v>77</v>
      </c>
      <c r="F54" s="10" t="s">
        <v>47</v>
      </c>
      <c r="G54" s="10">
        <v>7500</v>
      </c>
      <c r="H54" s="10">
        <v>3600</v>
      </c>
      <c r="I54" s="10">
        <f>+H54+G54</f>
        <v>11100</v>
      </c>
    </row>
    <row r="55" spans="1:9" x14ac:dyDescent="0.3">
      <c r="A55" s="10">
        <v>2</v>
      </c>
      <c r="B55" s="10" t="s">
        <v>486</v>
      </c>
      <c r="C55" s="10" t="s">
        <v>71</v>
      </c>
      <c r="D55" s="10" t="s">
        <v>44</v>
      </c>
      <c r="E55" s="10" t="s">
        <v>282</v>
      </c>
      <c r="F55" s="10" t="s">
        <v>47</v>
      </c>
      <c r="G55" s="10">
        <v>7500</v>
      </c>
      <c r="H55" s="10">
        <v>3600</v>
      </c>
      <c r="I55" s="10">
        <f t="shared" ref="I55:I73" si="15">+H55+G55</f>
        <v>11100</v>
      </c>
    </row>
    <row r="56" spans="1:9" x14ac:dyDescent="0.3">
      <c r="A56" s="10">
        <v>3</v>
      </c>
      <c r="B56" s="10" t="s">
        <v>486</v>
      </c>
      <c r="C56" s="10" t="s">
        <v>71</v>
      </c>
      <c r="D56" s="10" t="s">
        <v>44</v>
      </c>
      <c r="E56" s="10" t="s">
        <v>57</v>
      </c>
      <c r="F56" s="10" t="s">
        <v>47</v>
      </c>
      <c r="G56" s="10">
        <v>7500</v>
      </c>
      <c r="H56" s="10">
        <v>3600</v>
      </c>
      <c r="I56" s="10">
        <f t="shared" si="15"/>
        <v>11100</v>
      </c>
    </row>
    <row r="57" spans="1:9" x14ac:dyDescent="0.3">
      <c r="A57" s="10">
        <v>4</v>
      </c>
      <c r="B57" s="10" t="s">
        <v>487</v>
      </c>
      <c r="C57" s="10" t="s">
        <v>43</v>
      </c>
      <c r="D57" s="10" t="s">
        <v>44</v>
      </c>
      <c r="E57" s="10" t="s">
        <v>282</v>
      </c>
      <c r="F57" s="10" t="s">
        <v>47</v>
      </c>
      <c r="G57" s="10">
        <v>7500</v>
      </c>
      <c r="H57" s="10">
        <v>3600</v>
      </c>
      <c r="I57" s="10">
        <f t="shared" si="15"/>
        <v>11100</v>
      </c>
    </row>
    <row r="58" spans="1:9" x14ac:dyDescent="0.3">
      <c r="A58" s="10">
        <v>5</v>
      </c>
      <c r="B58" s="10" t="s">
        <v>487</v>
      </c>
      <c r="C58" s="10" t="s">
        <v>71</v>
      </c>
      <c r="D58" s="10" t="s">
        <v>44</v>
      </c>
      <c r="E58" s="10" t="s">
        <v>77</v>
      </c>
      <c r="F58" s="10" t="s">
        <v>47</v>
      </c>
      <c r="G58" s="10">
        <v>7500</v>
      </c>
      <c r="H58" s="10">
        <v>3600</v>
      </c>
      <c r="I58" s="10">
        <f t="shared" si="15"/>
        <v>11100</v>
      </c>
    </row>
    <row r="59" spans="1:9" x14ac:dyDescent="0.3">
      <c r="A59" s="10">
        <v>6</v>
      </c>
      <c r="B59" s="10" t="s">
        <v>487</v>
      </c>
      <c r="C59" s="10" t="s">
        <v>71</v>
      </c>
      <c r="D59" s="10" t="s">
        <v>44</v>
      </c>
      <c r="E59" s="10" t="s">
        <v>125</v>
      </c>
      <c r="F59" s="10" t="s">
        <v>47</v>
      </c>
      <c r="G59" s="10">
        <v>7500</v>
      </c>
      <c r="H59" s="10">
        <v>3600</v>
      </c>
      <c r="I59" s="10">
        <f t="shared" si="15"/>
        <v>11100</v>
      </c>
    </row>
    <row r="60" spans="1:9" x14ac:dyDescent="0.3">
      <c r="A60" s="10">
        <v>7</v>
      </c>
      <c r="B60" s="10" t="s">
        <v>487</v>
      </c>
      <c r="C60" s="10" t="s">
        <v>141</v>
      </c>
      <c r="D60" s="10" t="s">
        <v>44</v>
      </c>
      <c r="E60" s="10" t="s">
        <v>60</v>
      </c>
      <c r="F60" s="10" t="s">
        <v>63</v>
      </c>
      <c r="G60" s="10">
        <v>3500</v>
      </c>
      <c r="H60" s="10">
        <v>600</v>
      </c>
      <c r="I60" s="10">
        <f t="shared" si="15"/>
        <v>4100</v>
      </c>
    </row>
    <row r="61" spans="1:9" x14ac:dyDescent="0.3">
      <c r="A61" s="10">
        <v>8</v>
      </c>
      <c r="B61" s="10" t="s">
        <v>490</v>
      </c>
      <c r="C61" s="10" t="s">
        <v>43</v>
      </c>
      <c r="D61" s="10" t="s">
        <v>44</v>
      </c>
      <c r="E61" s="10" t="s">
        <v>57</v>
      </c>
      <c r="F61" s="10" t="s">
        <v>47</v>
      </c>
      <c r="G61" s="10">
        <v>7500</v>
      </c>
      <c r="H61" s="10">
        <v>3600</v>
      </c>
      <c r="I61" s="10">
        <f t="shared" si="15"/>
        <v>11100</v>
      </c>
    </row>
    <row r="62" spans="1:9" x14ac:dyDescent="0.3">
      <c r="A62" s="10">
        <v>9</v>
      </c>
      <c r="B62" s="10" t="s">
        <v>490</v>
      </c>
      <c r="C62" s="10" t="s">
        <v>71</v>
      </c>
      <c r="D62" s="10" t="s">
        <v>44</v>
      </c>
      <c r="E62" s="10" t="s">
        <v>282</v>
      </c>
      <c r="F62" s="10" t="s">
        <v>47</v>
      </c>
      <c r="G62" s="10">
        <v>7500</v>
      </c>
      <c r="H62" s="10">
        <v>3600</v>
      </c>
      <c r="I62" s="10">
        <f t="shared" si="15"/>
        <v>11100</v>
      </c>
    </row>
    <row r="63" spans="1:9" x14ac:dyDescent="0.3">
      <c r="A63" s="10">
        <v>10</v>
      </c>
      <c r="B63" s="10" t="s">
        <v>490</v>
      </c>
      <c r="C63" s="10" t="s">
        <v>71</v>
      </c>
      <c r="D63" s="10" t="s">
        <v>44</v>
      </c>
      <c r="E63" s="10" t="s">
        <v>77</v>
      </c>
      <c r="F63" s="10" t="s">
        <v>47</v>
      </c>
      <c r="G63" s="10">
        <v>7500</v>
      </c>
      <c r="H63" s="10">
        <v>3600</v>
      </c>
      <c r="I63" s="10">
        <f t="shared" si="15"/>
        <v>11100</v>
      </c>
    </row>
    <row r="64" spans="1:9" x14ac:dyDescent="0.3">
      <c r="A64" s="10">
        <v>11</v>
      </c>
      <c r="B64" s="10" t="s">
        <v>490</v>
      </c>
      <c r="C64" s="10" t="s">
        <v>44</v>
      </c>
      <c r="D64" s="10" t="s">
        <v>124</v>
      </c>
      <c r="E64" s="10" t="s">
        <v>57</v>
      </c>
      <c r="F64" s="10" t="s">
        <v>47</v>
      </c>
      <c r="G64" s="10">
        <v>5900</v>
      </c>
      <c r="H64" s="10">
        <v>3600</v>
      </c>
      <c r="I64" s="10">
        <f t="shared" si="15"/>
        <v>9500</v>
      </c>
    </row>
    <row r="65" spans="1:9" x14ac:dyDescent="0.3">
      <c r="A65" s="10">
        <v>12</v>
      </c>
      <c r="B65" s="10" t="s">
        <v>490</v>
      </c>
      <c r="C65" s="10" t="s">
        <v>44</v>
      </c>
      <c r="D65" s="10" t="s">
        <v>124</v>
      </c>
      <c r="E65" s="10" t="s">
        <v>282</v>
      </c>
      <c r="F65" s="10" t="s">
        <v>47</v>
      </c>
      <c r="G65" s="10">
        <v>5900</v>
      </c>
      <c r="H65" s="10">
        <v>3600</v>
      </c>
      <c r="I65" s="10">
        <f t="shared" si="15"/>
        <v>9500</v>
      </c>
    </row>
    <row r="66" spans="1:9" x14ac:dyDescent="0.3">
      <c r="A66" s="10">
        <v>13</v>
      </c>
      <c r="B66" s="10" t="s">
        <v>490</v>
      </c>
      <c r="C66" s="10" t="s">
        <v>44</v>
      </c>
      <c r="D66" s="10" t="s">
        <v>124</v>
      </c>
      <c r="E66" s="10" t="s">
        <v>60</v>
      </c>
      <c r="F66" s="10" t="s">
        <v>61</v>
      </c>
      <c r="G66" s="10">
        <v>4900</v>
      </c>
      <c r="H66" s="10">
        <v>1200</v>
      </c>
      <c r="I66" s="10">
        <f t="shared" si="15"/>
        <v>6100</v>
      </c>
    </row>
    <row r="67" spans="1:9" x14ac:dyDescent="0.3">
      <c r="A67" s="10">
        <v>14</v>
      </c>
      <c r="B67" s="10" t="s">
        <v>491</v>
      </c>
      <c r="C67" s="10" t="s">
        <v>71</v>
      </c>
      <c r="D67" s="10" t="s">
        <v>44</v>
      </c>
      <c r="E67" s="10" t="s">
        <v>77</v>
      </c>
      <c r="F67" s="10" t="s">
        <v>47</v>
      </c>
      <c r="G67" s="10">
        <v>7500</v>
      </c>
      <c r="H67" s="10">
        <v>3600</v>
      </c>
      <c r="I67" s="10">
        <f t="shared" si="15"/>
        <v>11100</v>
      </c>
    </row>
    <row r="68" spans="1:9" x14ac:dyDescent="0.3">
      <c r="A68" s="10">
        <v>15</v>
      </c>
      <c r="B68" s="10" t="s">
        <v>492</v>
      </c>
      <c r="C68" s="10" t="s">
        <v>43</v>
      </c>
      <c r="D68" s="10" t="s">
        <v>44</v>
      </c>
      <c r="E68" s="10" t="s">
        <v>77</v>
      </c>
      <c r="F68" s="10" t="s">
        <v>47</v>
      </c>
      <c r="G68" s="10">
        <v>7500</v>
      </c>
      <c r="H68" s="10">
        <v>3600</v>
      </c>
      <c r="I68" s="10">
        <f t="shared" si="15"/>
        <v>11100</v>
      </c>
    </row>
    <row r="69" spans="1:9" x14ac:dyDescent="0.3">
      <c r="A69" s="10">
        <v>16</v>
      </c>
      <c r="B69" s="10" t="s">
        <v>492</v>
      </c>
      <c r="C69" s="10" t="s">
        <v>71</v>
      </c>
      <c r="D69" s="10" t="s">
        <v>44</v>
      </c>
      <c r="E69" s="10" t="s">
        <v>92</v>
      </c>
      <c r="F69" s="10" t="s">
        <v>47</v>
      </c>
      <c r="G69" s="10">
        <v>7500</v>
      </c>
      <c r="H69" s="10">
        <v>3600</v>
      </c>
      <c r="I69" s="10">
        <f t="shared" si="15"/>
        <v>11100</v>
      </c>
    </row>
    <row r="70" spans="1:9" x14ac:dyDescent="0.3">
      <c r="A70" s="10">
        <v>17</v>
      </c>
      <c r="B70" s="10" t="s">
        <v>492</v>
      </c>
      <c r="C70" s="10" t="s">
        <v>71</v>
      </c>
      <c r="D70" s="10" t="s">
        <v>44</v>
      </c>
      <c r="E70" s="10" t="s">
        <v>282</v>
      </c>
      <c r="F70" s="10" t="s">
        <v>47</v>
      </c>
      <c r="G70" s="10">
        <v>7500</v>
      </c>
      <c r="H70" s="10">
        <v>3600</v>
      </c>
      <c r="I70" s="10">
        <f t="shared" si="15"/>
        <v>11100</v>
      </c>
    </row>
    <row r="71" spans="1:9" x14ac:dyDescent="0.3">
      <c r="A71" s="10">
        <v>18</v>
      </c>
      <c r="B71" s="10" t="s">
        <v>493</v>
      </c>
      <c r="C71" s="10" t="s">
        <v>43</v>
      </c>
      <c r="D71" s="10" t="s">
        <v>44</v>
      </c>
      <c r="E71" s="10" t="s">
        <v>77</v>
      </c>
      <c r="F71" s="10" t="s">
        <v>47</v>
      </c>
      <c r="G71" s="10">
        <v>7500</v>
      </c>
      <c r="H71" s="10">
        <v>3600</v>
      </c>
      <c r="I71" s="10">
        <f t="shared" si="15"/>
        <v>11100</v>
      </c>
    </row>
    <row r="72" spans="1:9" x14ac:dyDescent="0.3">
      <c r="A72" s="10">
        <v>19</v>
      </c>
      <c r="B72" s="10" t="s">
        <v>493</v>
      </c>
      <c r="C72" s="10" t="s">
        <v>473</v>
      </c>
      <c r="D72" s="10" t="s">
        <v>44</v>
      </c>
      <c r="E72" s="10" t="s">
        <v>282</v>
      </c>
      <c r="F72" s="10" t="s">
        <v>47</v>
      </c>
      <c r="G72" s="10">
        <v>7500</v>
      </c>
      <c r="H72" s="10">
        <v>3600</v>
      </c>
      <c r="I72" s="10">
        <f t="shared" si="15"/>
        <v>11100</v>
      </c>
    </row>
    <row r="73" spans="1:9" x14ac:dyDescent="0.3">
      <c r="A73" s="10">
        <v>20</v>
      </c>
      <c r="B73" s="10" t="s">
        <v>493</v>
      </c>
      <c r="C73" s="10" t="s">
        <v>43</v>
      </c>
      <c r="D73" s="10" t="s">
        <v>65</v>
      </c>
      <c r="E73" s="10" t="s">
        <v>92</v>
      </c>
      <c r="F73" s="10" t="s">
        <v>47</v>
      </c>
      <c r="G73" s="10">
        <v>6200</v>
      </c>
      <c r="H73" s="10">
        <v>3600</v>
      </c>
      <c r="I73" s="10">
        <f t="shared" si="15"/>
        <v>9800</v>
      </c>
    </row>
    <row r="74" spans="1:9" x14ac:dyDescent="0.3">
      <c r="A74" s="10">
        <v>21</v>
      </c>
      <c r="B74" s="10" t="s">
        <v>493</v>
      </c>
      <c r="C74" s="10" t="s">
        <v>44</v>
      </c>
      <c r="D74" s="10" t="s">
        <v>473</v>
      </c>
      <c r="E74" s="10" t="s">
        <v>478</v>
      </c>
      <c r="F74" s="10" t="s">
        <v>47</v>
      </c>
      <c r="G74" s="10">
        <v>7500</v>
      </c>
      <c r="H74" s="10">
        <v>3600</v>
      </c>
      <c r="I74" s="10">
        <f>+H74+G74</f>
        <v>11100</v>
      </c>
    </row>
    <row r="75" spans="1:9" x14ac:dyDescent="0.3">
      <c r="A75" s="10">
        <v>22</v>
      </c>
      <c r="B75" s="10" t="s">
        <v>493</v>
      </c>
      <c r="C75" s="10" t="s">
        <v>44</v>
      </c>
      <c r="D75" s="10" t="s">
        <v>473</v>
      </c>
      <c r="E75" s="10" t="s">
        <v>282</v>
      </c>
      <c r="F75" s="10" t="s">
        <v>47</v>
      </c>
      <c r="G75" s="10">
        <v>7500</v>
      </c>
      <c r="H75" s="10">
        <v>3600</v>
      </c>
      <c r="I75" s="10">
        <f t="shared" ref="I75:I98" si="16">+H75+G75</f>
        <v>11100</v>
      </c>
    </row>
    <row r="76" spans="1:9" x14ac:dyDescent="0.3">
      <c r="A76" s="10">
        <v>23</v>
      </c>
      <c r="B76" s="10" t="s">
        <v>493</v>
      </c>
      <c r="C76" s="10" t="s">
        <v>44</v>
      </c>
      <c r="D76" s="10" t="s">
        <v>473</v>
      </c>
      <c r="E76" s="10" t="s">
        <v>77</v>
      </c>
      <c r="F76" s="10" t="s">
        <v>47</v>
      </c>
      <c r="G76" s="10">
        <v>7500</v>
      </c>
      <c r="H76" s="10">
        <v>3600</v>
      </c>
      <c r="I76" s="10">
        <f t="shared" si="16"/>
        <v>11100</v>
      </c>
    </row>
    <row r="77" spans="1:9" x14ac:dyDescent="0.3">
      <c r="A77" s="10">
        <v>24</v>
      </c>
      <c r="B77" s="10" t="s">
        <v>493</v>
      </c>
      <c r="C77" s="10" t="s">
        <v>494</v>
      </c>
      <c r="D77" s="10" t="s">
        <v>44</v>
      </c>
      <c r="E77" s="10" t="s">
        <v>60</v>
      </c>
      <c r="F77" s="10" t="s">
        <v>63</v>
      </c>
      <c r="G77" s="10">
        <v>3500</v>
      </c>
      <c r="H77" s="10">
        <v>600</v>
      </c>
      <c r="I77" s="10">
        <f t="shared" si="16"/>
        <v>4100</v>
      </c>
    </row>
    <row r="78" spans="1:9" x14ac:dyDescent="0.3">
      <c r="A78" s="10">
        <v>25</v>
      </c>
      <c r="B78" s="10" t="s">
        <v>495</v>
      </c>
      <c r="C78" s="10" t="s">
        <v>44</v>
      </c>
      <c r="D78" s="10" t="s">
        <v>473</v>
      </c>
      <c r="E78" s="10" t="s">
        <v>77</v>
      </c>
      <c r="F78" s="10" t="s">
        <v>47</v>
      </c>
      <c r="G78" s="10">
        <v>7500</v>
      </c>
      <c r="H78" s="10">
        <v>3600</v>
      </c>
      <c r="I78" s="10">
        <f t="shared" si="16"/>
        <v>11100</v>
      </c>
    </row>
    <row r="79" spans="1:9" x14ac:dyDescent="0.3">
      <c r="A79" s="10">
        <v>26</v>
      </c>
      <c r="B79" s="10" t="s">
        <v>495</v>
      </c>
      <c r="C79" s="10" t="s">
        <v>44</v>
      </c>
      <c r="D79" s="10" t="s">
        <v>473</v>
      </c>
      <c r="E79" s="10" t="s">
        <v>282</v>
      </c>
      <c r="F79" s="10" t="s">
        <v>47</v>
      </c>
      <c r="G79" s="10">
        <v>7500</v>
      </c>
      <c r="H79" s="10">
        <v>3600</v>
      </c>
      <c r="I79" s="10">
        <f t="shared" si="16"/>
        <v>11100</v>
      </c>
    </row>
    <row r="80" spans="1:9" x14ac:dyDescent="0.3">
      <c r="A80" s="10">
        <v>27</v>
      </c>
      <c r="B80" s="10" t="s">
        <v>495</v>
      </c>
      <c r="C80" s="10" t="s">
        <v>44</v>
      </c>
      <c r="D80" s="10" t="s">
        <v>473</v>
      </c>
      <c r="E80" s="10" t="s">
        <v>77</v>
      </c>
      <c r="F80" s="10" t="s">
        <v>47</v>
      </c>
      <c r="G80" s="10">
        <v>7500</v>
      </c>
      <c r="H80" s="10">
        <v>3600</v>
      </c>
      <c r="I80" s="10">
        <f t="shared" si="16"/>
        <v>11100</v>
      </c>
    </row>
    <row r="81" spans="1:9" x14ac:dyDescent="0.3">
      <c r="A81" s="10">
        <v>28</v>
      </c>
      <c r="B81" s="10" t="s">
        <v>495</v>
      </c>
      <c r="C81" s="10" t="s">
        <v>43</v>
      </c>
      <c r="D81" s="10" t="s">
        <v>44</v>
      </c>
      <c r="E81" s="10" t="s">
        <v>57</v>
      </c>
      <c r="F81" s="10" t="s">
        <v>47</v>
      </c>
      <c r="G81" s="10">
        <v>7500</v>
      </c>
      <c r="H81" s="10">
        <v>3600</v>
      </c>
      <c r="I81" s="10">
        <f t="shared" si="16"/>
        <v>11100</v>
      </c>
    </row>
    <row r="82" spans="1:9" x14ac:dyDescent="0.3">
      <c r="A82" s="10">
        <v>29</v>
      </c>
      <c r="B82" s="10" t="s">
        <v>495</v>
      </c>
      <c r="C82" s="10" t="s">
        <v>44</v>
      </c>
      <c r="D82" s="10" t="s">
        <v>124</v>
      </c>
      <c r="E82" s="10" t="s">
        <v>60</v>
      </c>
      <c r="F82" s="10" t="s">
        <v>61</v>
      </c>
      <c r="G82" s="10">
        <v>4900</v>
      </c>
      <c r="H82" s="10">
        <v>1200</v>
      </c>
      <c r="I82" s="10">
        <f t="shared" si="16"/>
        <v>6100</v>
      </c>
    </row>
    <row r="83" spans="1:9" x14ac:dyDescent="0.3">
      <c r="A83" s="10">
        <v>30</v>
      </c>
      <c r="B83" s="10" t="s">
        <v>496</v>
      </c>
      <c r="C83" s="10" t="s">
        <v>43</v>
      </c>
      <c r="D83" s="10" t="s">
        <v>44</v>
      </c>
      <c r="E83" s="10" t="s">
        <v>77</v>
      </c>
      <c r="F83" s="10" t="s">
        <v>47</v>
      </c>
      <c r="G83" s="10">
        <v>7500</v>
      </c>
      <c r="H83" s="10">
        <v>3600</v>
      </c>
      <c r="I83" s="10">
        <f t="shared" si="16"/>
        <v>11100</v>
      </c>
    </row>
    <row r="84" spans="1:9" x14ac:dyDescent="0.3">
      <c r="A84" s="10">
        <v>31</v>
      </c>
      <c r="B84" s="10" t="s">
        <v>496</v>
      </c>
      <c r="C84" s="10" t="s">
        <v>43</v>
      </c>
      <c r="D84" s="10" t="s">
        <v>44</v>
      </c>
      <c r="E84" s="10" t="s">
        <v>233</v>
      </c>
      <c r="F84" s="10" t="s">
        <v>47</v>
      </c>
      <c r="G84" s="10">
        <v>7500</v>
      </c>
      <c r="H84" s="10">
        <v>3600</v>
      </c>
      <c r="I84" s="10">
        <f t="shared" si="16"/>
        <v>11100</v>
      </c>
    </row>
    <row r="85" spans="1:9" x14ac:dyDescent="0.3">
      <c r="A85" s="10">
        <v>32</v>
      </c>
      <c r="B85" s="10" t="s">
        <v>496</v>
      </c>
      <c r="C85" s="10" t="s">
        <v>71</v>
      </c>
      <c r="D85" s="10" t="s">
        <v>44</v>
      </c>
      <c r="E85" s="10" t="s">
        <v>282</v>
      </c>
      <c r="F85" s="10" t="s">
        <v>47</v>
      </c>
      <c r="G85" s="10">
        <v>7500</v>
      </c>
      <c r="H85" s="10">
        <v>3600</v>
      </c>
      <c r="I85" s="10">
        <f t="shared" si="16"/>
        <v>11100</v>
      </c>
    </row>
    <row r="86" spans="1:9" x14ac:dyDescent="0.3">
      <c r="A86" s="10">
        <v>33</v>
      </c>
      <c r="B86" s="10" t="s">
        <v>496</v>
      </c>
      <c r="C86" s="10" t="s">
        <v>44</v>
      </c>
      <c r="D86" s="10" t="s">
        <v>124</v>
      </c>
      <c r="E86" s="10" t="s">
        <v>125</v>
      </c>
      <c r="F86" s="10" t="s">
        <v>47</v>
      </c>
      <c r="G86" s="10">
        <v>5900</v>
      </c>
      <c r="H86" s="10">
        <v>3600</v>
      </c>
      <c r="I86" s="10">
        <f t="shared" si="16"/>
        <v>9500</v>
      </c>
    </row>
    <row r="87" spans="1:9" x14ac:dyDescent="0.3">
      <c r="A87" s="10">
        <v>34</v>
      </c>
      <c r="B87" s="10" t="s">
        <v>496</v>
      </c>
      <c r="C87" s="10" t="s">
        <v>44</v>
      </c>
      <c r="D87" s="10" t="s">
        <v>124</v>
      </c>
      <c r="E87" s="10" t="s">
        <v>77</v>
      </c>
      <c r="F87" s="10" t="s">
        <v>47</v>
      </c>
      <c r="G87" s="10">
        <v>5900</v>
      </c>
      <c r="H87" s="10">
        <v>3600</v>
      </c>
      <c r="I87" s="10">
        <f t="shared" si="16"/>
        <v>9500</v>
      </c>
    </row>
    <row r="88" spans="1:9" x14ac:dyDescent="0.3">
      <c r="A88" s="10">
        <v>35</v>
      </c>
      <c r="B88" s="10" t="s">
        <v>497</v>
      </c>
      <c r="C88" s="10" t="s">
        <v>43</v>
      </c>
      <c r="D88" s="10" t="s">
        <v>44</v>
      </c>
      <c r="E88" s="10" t="s">
        <v>57</v>
      </c>
      <c r="F88" s="10" t="s">
        <v>47</v>
      </c>
      <c r="G88" s="10">
        <v>7500</v>
      </c>
      <c r="H88" s="10">
        <v>3600</v>
      </c>
      <c r="I88" s="10">
        <f t="shared" si="16"/>
        <v>11100</v>
      </c>
    </row>
    <row r="89" spans="1:9" x14ac:dyDescent="0.3">
      <c r="A89" s="10">
        <v>36</v>
      </c>
      <c r="B89" s="10" t="s">
        <v>497</v>
      </c>
      <c r="C89" s="10" t="s">
        <v>71</v>
      </c>
      <c r="D89" s="10" t="s">
        <v>44</v>
      </c>
      <c r="E89" s="10" t="s">
        <v>282</v>
      </c>
      <c r="F89" s="10" t="s">
        <v>47</v>
      </c>
      <c r="G89" s="10">
        <v>7500</v>
      </c>
      <c r="H89" s="10">
        <v>3600</v>
      </c>
      <c r="I89" s="10">
        <f t="shared" si="16"/>
        <v>11100</v>
      </c>
    </row>
    <row r="90" spans="1:9" x14ac:dyDescent="0.3">
      <c r="A90" s="10">
        <v>37</v>
      </c>
      <c r="B90" s="10" t="s">
        <v>497</v>
      </c>
      <c r="C90" s="10" t="s">
        <v>71</v>
      </c>
      <c r="D90" s="10" t="s">
        <v>44</v>
      </c>
      <c r="E90" s="10" t="s">
        <v>125</v>
      </c>
      <c r="F90" s="10" t="s">
        <v>47</v>
      </c>
      <c r="G90" s="10">
        <v>7500</v>
      </c>
      <c r="H90" s="10">
        <v>3600</v>
      </c>
      <c r="I90" s="10">
        <f t="shared" si="16"/>
        <v>11100</v>
      </c>
    </row>
    <row r="91" spans="1:9" x14ac:dyDescent="0.3">
      <c r="A91" s="10">
        <v>38</v>
      </c>
      <c r="B91" s="10" t="s">
        <v>497</v>
      </c>
      <c r="C91" s="10" t="s">
        <v>44</v>
      </c>
      <c r="D91" s="10" t="s">
        <v>65</v>
      </c>
      <c r="E91" s="10" t="s">
        <v>282</v>
      </c>
      <c r="F91" s="10" t="s">
        <v>47</v>
      </c>
      <c r="G91" s="10">
        <v>6200</v>
      </c>
      <c r="H91" s="10">
        <v>0</v>
      </c>
      <c r="I91" s="10">
        <f t="shared" si="16"/>
        <v>6200</v>
      </c>
    </row>
    <row r="92" spans="1:9" x14ac:dyDescent="0.3">
      <c r="A92" s="10">
        <v>39</v>
      </c>
      <c r="B92" s="10" t="s">
        <v>497</v>
      </c>
      <c r="C92" s="10" t="s">
        <v>44</v>
      </c>
      <c r="D92" s="10" t="s">
        <v>65</v>
      </c>
      <c r="E92" s="10" t="s">
        <v>92</v>
      </c>
      <c r="F92" s="10" t="s">
        <v>47</v>
      </c>
      <c r="G92" s="10">
        <v>6200</v>
      </c>
      <c r="H92" s="10">
        <v>0</v>
      </c>
      <c r="I92" s="10">
        <f t="shared" si="16"/>
        <v>6200</v>
      </c>
    </row>
    <row r="93" spans="1:9" x14ac:dyDescent="0.3">
      <c r="A93" s="10">
        <v>40</v>
      </c>
      <c r="B93" s="10" t="s">
        <v>497</v>
      </c>
      <c r="C93" s="10" t="s">
        <v>44</v>
      </c>
      <c r="D93" s="10" t="s">
        <v>65</v>
      </c>
      <c r="E93" s="10" t="s">
        <v>60</v>
      </c>
      <c r="F93" s="10" t="s">
        <v>61</v>
      </c>
      <c r="G93" s="10">
        <v>5000</v>
      </c>
      <c r="H93" s="10">
        <v>1200</v>
      </c>
      <c r="I93" s="10">
        <f t="shared" si="16"/>
        <v>6200</v>
      </c>
    </row>
    <row r="94" spans="1:9" x14ac:dyDescent="0.3">
      <c r="A94" s="10">
        <v>41</v>
      </c>
      <c r="B94" s="10" t="s">
        <v>497</v>
      </c>
      <c r="C94" s="10" t="s">
        <v>44</v>
      </c>
      <c r="D94" s="10" t="s">
        <v>473</v>
      </c>
      <c r="E94" s="10" t="s">
        <v>282</v>
      </c>
      <c r="F94" s="10" t="s">
        <v>47</v>
      </c>
      <c r="G94" s="10">
        <v>7500</v>
      </c>
      <c r="H94" s="10">
        <v>3600</v>
      </c>
      <c r="I94" s="10">
        <f t="shared" si="16"/>
        <v>11100</v>
      </c>
    </row>
    <row r="95" spans="1:9" x14ac:dyDescent="0.3">
      <c r="A95" s="10">
        <v>42</v>
      </c>
      <c r="B95" s="10" t="s">
        <v>497</v>
      </c>
      <c r="C95" s="10" t="s">
        <v>498</v>
      </c>
      <c r="D95" s="10" t="s">
        <v>65</v>
      </c>
      <c r="E95" s="10" t="s">
        <v>499</v>
      </c>
      <c r="F95" s="10" t="s">
        <v>63</v>
      </c>
      <c r="G95" s="10">
        <v>3500</v>
      </c>
      <c r="H95" s="10">
        <v>600</v>
      </c>
      <c r="I95" s="10">
        <f t="shared" si="16"/>
        <v>4100</v>
      </c>
    </row>
    <row r="96" spans="1:9" x14ac:dyDescent="0.3">
      <c r="A96" s="10">
        <v>43</v>
      </c>
      <c r="B96" s="10" t="s">
        <v>497</v>
      </c>
      <c r="C96" s="10" t="s">
        <v>500</v>
      </c>
      <c r="D96" s="10" t="s">
        <v>473</v>
      </c>
      <c r="E96" s="10" t="s">
        <v>60</v>
      </c>
      <c r="F96" s="10" t="s">
        <v>63</v>
      </c>
      <c r="G96" s="10">
        <v>3500</v>
      </c>
      <c r="H96" s="10">
        <v>600</v>
      </c>
      <c r="I96" s="10">
        <f t="shared" si="16"/>
        <v>4100</v>
      </c>
    </row>
    <row r="97" spans="1:9" x14ac:dyDescent="0.3">
      <c r="A97" s="10">
        <v>44</v>
      </c>
      <c r="B97" s="10" t="s">
        <v>497</v>
      </c>
      <c r="C97" s="10" t="s">
        <v>44</v>
      </c>
      <c r="D97" s="10" t="s">
        <v>124</v>
      </c>
      <c r="E97" s="10" t="s">
        <v>478</v>
      </c>
      <c r="F97" s="10" t="s">
        <v>47</v>
      </c>
      <c r="G97" s="10">
        <v>5900</v>
      </c>
      <c r="H97" s="10">
        <v>3600</v>
      </c>
      <c r="I97" s="10">
        <f t="shared" si="16"/>
        <v>9500</v>
      </c>
    </row>
    <row r="98" spans="1:9" x14ac:dyDescent="0.3">
      <c r="A98" s="10">
        <v>45</v>
      </c>
      <c r="B98" s="10" t="s">
        <v>497</v>
      </c>
      <c r="C98" s="10" t="s">
        <v>44</v>
      </c>
      <c r="D98" s="10" t="s">
        <v>124</v>
      </c>
      <c r="E98" s="10" t="s">
        <v>92</v>
      </c>
      <c r="F98" s="10" t="s">
        <v>47</v>
      </c>
      <c r="G98" s="10">
        <v>5900</v>
      </c>
      <c r="H98" s="10">
        <v>3600</v>
      </c>
      <c r="I98" s="10">
        <f t="shared" si="16"/>
        <v>9500</v>
      </c>
    </row>
    <row r="99" spans="1:9" x14ac:dyDescent="0.3">
      <c r="A99" s="10">
        <v>46</v>
      </c>
      <c r="B99" s="10" t="s">
        <v>497</v>
      </c>
      <c r="C99" s="10" t="s">
        <v>44</v>
      </c>
      <c r="D99" s="10" t="s">
        <v>124</v>
      </c>
      <c r="E99" s="10" t="s">
        <v>501</v>
      </c>
      <c r="F99" s="10" t="s">
        <v>47</v>
      </c>
      <c r="G99" s="10">
        <v>5900</v>
      </c>
      <c r="H99" s="10">
        <v>3600</v>
      </c>
      <c r="I99" s="10">
        <f t="shared" ref="I99:I102" si="17">+H99+G99</f>
        <v>9500</v>
      </c>
    </row>
    <row r="100" spans="1:9" x14ac:dyDescent="0.3">
      <c r="A100" s="10">
        <v>47</v>
      </c>
      <c r="B100" s="10" t="s">
        <v>497</v>
      </c>
      <c r="C100" s="10" t="s">
        <v>44</v>
      </c>
      <c r="D100" s="10" t="s">
        <v>473</v>
      </c>
      <c r="E100" s="10" t="s">
        <v>502</v>
      </c>
      <c r="F100" s="10" t="s">
        <v>47</v>
      </c>
      <c r="G100" s="10">
        <v>7500</v>
      </c>
      <c r="H100" s="10">
        <v>3600</v>
      </c>
      <c r="I100" s="10">
        <f t="shared" si="17"/>
        <v>11100</v>
      </c>
    </row>
    <row r="101" spans="1:9" x14ac:dyDescent="0.3">
      <c r="A101" s="10">
        <v>48</v>
      </c>
      <c r="B101" s="10" t="s">
        <v>503</v>
      </c>
      <c r="C101" s="10" t="s">
        <v>44</v>
      </c>
      <c r="D101" s="10" t="s">
        <v>124</v>
      </c>
      <c r="E101" s="10" t="s">
        <v>77</v>
      </c>
      <c r="F101" s="10" t="s">
        <v>47</v>
      </c>
      <c r="G101" s="10">
        <v>5900</v>
      </c>
      <c r="H101" s="10">
        <v>3600</v>
      </c>
      <c r="I101" s="10">
        <f t="shared" si="17"/>
        <v>9500</v>
      </c>
    </row>
    <row r="102" spans="1:9" x14ac:dyDescent="0.3">
      <c r="A102" s="10">
        <v>49</v>
      </c>
      <c r="B102" s="10" t="s">
        <v>497</v>
      </c>
      <c r="C102" s="10" t="s">
        <v>44</v>
      </c>
      <c r="D102" s="10" t="s">
        <v>473</v>
      </c>
      <c r="E102" s="10" t="s">
        <v>57</v>
      </c>
      <c r="F102" s="10" t="s">
        <v>47</v>
      </c>
      <c r="G102" s="10">
        <v>7500</v>
      </c>
      <c r="H102" s="10">
        <v>3600</v>
      </c>
      <c r="I102" s="10">
        <f t="shared" si="17"/>
        <v>11100</v>
      </c>
    </row>
    <row r="103" spans="1:9" x14ac:dyDescent="0.3">
      <c r="F103" s="28" t="s">
        <v>41</v>
      </c>
      <c r="G103" s="38">
        <f>SUM(G54:G102)</f>
        <v>327100</v>
      </c>
      <c r="H103" s="38">
        <f>SUM(H54:H102)</f>
        <v>150000</v>
      </c>
      <c r="I103" s="38">
        <f>SUM(I54:I102)</f>
        <v>477100</v>
      </c>
    </row>
  </sheetData>
  <autoFilter ref="A2:I48" xr:uid="{04AF77B2-480B-450F-B17C-E028B928FD9A}"/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8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045-DCB1-4BAE-A67B-E84A44DC7DA4}">
  <dimension ref="A1:I73"/>
  <sheetViews>
    <sheetView topLeftCell="A18" zoomScale="81" workbookViewId="0"/>
  </sheetViews>
  <sheetFormatPr defaultRowHeight="14.4" x14ac:dyDescent="0.3"/>
  <cols>
    <col min="1" max="1" width="4.44140625" customWidth="1"/>
    <col min="2" max="2" width="12.21875" customWidth="1"/>
    <col min="3" max="3" width="26.33203125" customWidth="1"/>
    <col min="4" max="4" width="13.88671875" customWidth="1"/>
    <col min="5" max="5" width="15" customWidth="1"/>
  </cols>
  <sheetData>
    <row r="1" spans="1:9" x14ac:dyDescent="0.3">
      <c r="A1" s="78" t="s">
        <v>519</v>
      </c>
    </row>
    <row r="2" spans="1:9" ht="28.8" x14ac:dyDescent="0.3">
      <c r="A2" s="80" t="s">
        <v>25</v>
      </c>
      <c r="B2" s="80" t="s">
        <v>26</v>
      </c>
      <c r="C2" s="80" t="s">
        <v>27</v>
      </c>
      <c r="D2" s="80" t="s">
        <v>28</v>
      </c>
      <c r="E2" s="80" t="s">
        <v>30</v>
      </c>
      <c r="F2" s="81" t="s">
        <v>34</v>
      </c>
      <c r="G2" s="80" t="s">
        <v>35</v>
      </c>
      <c r="H2" s="80" t="s">
        <v>36</v>
      </c>
      <c r="I2" s="81" t="s">
        <v>37</v>
      </c>
    </row>
    <row r="3" spans="1:9" x14ac:dyDescent="0.3">
      <c r="A3" s="10">
        <v>1</v>
      </c>
      <c r="B3" s="82" t="s">
        <v>509</v>
      </c>
      <c r="C3" s="10" t="s">
        <v>43</v>
      </c>
      <c r="D3" s="10" t="s">
        <v>44</v>
      </c>
      <c r="E3" s="10" t="s">
        <v>282</v>
      </c>
      <c r="F3" s="10" t="s">
        <v>47</v>
      </c>
      <c r="G3" s="10">
        <v>7500</v>
      </c>
      <c r="H3" s="10">
        <v>3600</v>
      </c>
      <c r="I3" s="10">
        <f t="shared" ref="I3:I33" si="0">+H3+G3</f>
        <v>11100</v>
      </c>
    </row>
    <row r="4" spans="1:9" x14ac:dyDescent="0.3">
      <c r="A4" s="10">
        <v>2</v>
      </c>
      <c r="B4" s="83" t="s">
        <v>509</v>
      </c>
      <c r="C4" s="10" t="s">
        <v>43</v>
      </c>
      <c r="D4" s="10" t="s">
        <v>44</v>
      </c>
      <c r="E4" s="10" t="s">
        <v>77</v>
      </c>
      <c r="F4" s="10" t="s">
        <v>47</v>
      </c>
      <c r="G4" s="10">
        <v>7500</v>
      </c>
      <c r="H4" s="10">
        <v>3600</v>
      </c>
      <c r="I4" s="10">
        <f t="shared" si="0"/>
        <v>11100</v>
      </c>
    </row>
    <row r="5" spans="1:9" x14ac:dyDescent="0.3">
      <c r="A5" s="10">
        <v>3</v>
      </c>
      <c r="B5" s="82" t="s">
        <v>509</v>
      </c>
      <c r="C5" s="10" t="s">
        <v>71</v>
      </c>
      <c r="D5" s="10" t="s">
        <v>44</v>
      </c>
      <c r="E5" s="10" t="s">
        <v>57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9" x14ac:dyDescent="0.3">
      <c r="A6" s="10">
        <v>4</v>
      </c>
      <c r="B6" s="83" t="s">
        <v>509</v>
      </c>
      <c r="C6" s="10" t="s">
        <v>71</v>
      </c>
      <c r="D6" s="10" t="s">
        <v>44</v>
      </c>
      <c r="E6" s="10" t="s">
        <v>125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9" x14ac:dyDescent="0.3">
      <c r="A7" s="10">
        <v>5</v>
      </c>
      <c r="B7" s="82" t="s">
        <v>509</v>
      </c>
      <c r="C7" s="10" t="s">
        <v>44</v>
      </c>
      <c r="D7" s="10" t="s">
        <v>71</v>
      </c>
      <c r="E7" s="10" t="s">
        <v>77</v>
      </c>
      <c r="F7" s="10" t="s">
        <v>47</v>
      </c>
      <c r="G7" s="10">
        <v>5800</v>
      </c>
      <c r="H7" s="10">
        <v>3600</v>
      </c>
      <c r="I7" s="10">
        <f t="shared" si="0"/>
        <v>9400</v>
      </c>
    </row>
    <row r="8" spans="1:9" x14ac:dyDescent="0.3">
      <c r="A8" s="10">
        <v>6</v>
      </c>
      <c r="B8" s="83" t="s">
        <v>509</v>
      </c>
      <c r="C8" s="10" t="s">
        <v>44</v>
      </c>
      <c r="D8" s="10" t="s">
        <v>71</v>
      </c>
      <c r="E8" s="10" t="s">
        <v>125</v>
      </c>
      <c r="F8" s="10" t="s">
        <v>47</v>
      </c>
      <c r="G8" s="10">
        <v>5800</v>
      </c>
      <c r="H8" s="10">
        <v>3600</v>
      </c>
      <c r="I8" s="10">
        <f t="shared" si="0"/>
        <v>9400</v>
      </c>
    </row>
    <row r="9" spans="1:9" x14ac:dyDescent="0.3">
      <c r="A9" s="10">
        <v>7</v>
      </c>
      <c r="B9" s="82" t="s">
        <v>510</v>
      </c>
      <c r="C9" s="10" t="s">
        <v>473</v>
      </c>
      <c r="D9" s="10" t="s">
        <v>44</v>
      </c>
      <c r="E9" s="10" t="s">
        <v>282</v>
      </c>
      <c r="F9" s="10" t="s">
        <v>47</v>
      </c>
      <c r="G9" s="10">
        <v>7500</v>
      </c>
      <c r="H9" s="10">
        <v>3600</v>
      </c>
      <c r="I9" s="10">
        <f t="shared" si="0"/>
        <v>11100</v>
      </c>
    </row>
    <row r="10" spans="1:9" x14ac:dyDescent="0.3">
      <c r="A10" s="10">
        <v>8</v>
      </c>
      <c r="B10" s="83" t="s">
        <v>510</v>
      </c>
      <c r="C10" s="10" t="s">
        <v>473</v>
      </c>
      <c r="D10" s="10" t="s">
        <v>44</v>
      </c>
      <c r="E10" s="10" t="s">
        <v>77</v>
      </c>
      <c r="F10" s="10" t="s">
        <v>47</v>
      </c>
      <c r="G10" s="10">
        <v>7500</v>
      </c>
      <c r="H10" s="10">
        <v>3600</v>
      </c>
      <c r="I10" s="10">
        <f t="shared" si="0"/>
        <v>11100</v>
      </c>
    </row>
    <row r="11" spans="1:9" x14ac:dyDescent="0.3">
      <c r="A11" s="10">
        <v>9</v>
      </c>
      <c r="B11" s="82" t="s">
        <v>510</v>
      </c>
      <c r="C11" s="10" t="s">
        <v>44</v>
      </c>
      <c r="D11" s="10" t="s">
        <v>124</v>
      </c>
      <c r="E11" s="10" t="s">
        <v>60</v>
      </c>
      <c r="F11" s="10" t="s">
        <v>61</v>
      </c>
      <c r="G11" s="10">
        <v>4900</v>
      </c>
      <c r="H11" s="10">
        <v>1200</v>
      </c>
      <c r="I11" s="10">
        <f t="shared" si="0"/>
        <v>6100</v>
      </c>
    </row>
    <row r="12" spans="1:9" x14ac:dyDescent="0.3">
      <c r="A12" s="10">
        <v>10</v>
      </c>
      <c r="B12" s="83" t="s">
        <v>511</v>
      </c>
      <c r="C12" s="10" t="s">
        <v>43</v>
      </c>
      <c r="D12" s="10" t="s">
        <v>44</v>
      </c>
      <c r="E12" s="10" t="s">
        <v>57</v>
      </c>
      <c r="F12" s="10" t="s">
        <v>47</v>
      </c>
      <c r="G12" s="10">
        <v>7500</v>
      </c>
      <c r="H12" s="10">
        <v>3600</v>
      </c>
      <c r="I12" s="10">
        <f t="shared" si="0"/>
        <v>11100</v>
      </c>
    </row>
    <row r="13" spans="1:9" x14ac:dyDescent="0.3">
      <c r="A13" s="10">
        <v>11</v>
      </c>
      <c r="B13" s="82" t="s">
        <v>511</v>
      </c>
      <c r="C13" s="10" t="s">
        <v>43</v>
      </c>
      <c r="D13" s="10" t="s">
        <v>44</v>
      </c>
      <c r="E13" s="10" t="s">
        <v>77</v>
      </c>
      <c r="F13" s="10" t="s">
        <v>47</v>
      </c>
      <c r="G13" s="10">
        <v>7500</v>
      </c>
      <c r="H13" s="10">
        <v>3600</v>
      </c>
      <c r="I13" s="10">
        <f t="shared" si="0"/>
        <v>11100</v>
      </c>
    </row>
    <row r="14" spans="1:9" x14ac:dyDescent="0.3">
      <c r="A14" s="10">
        <v>12</v>
      </c>
      <c r="B14" s="83" t="s">
        <v>511</v>
      </c>
      <c r="C14" s="10" t="s">
        <v>44</v>
      </c>
      <c r="D14" s="10" t="s">
        <v>124</v>
      </c>
      <c r="E14" s="10" t="s">
        <v>282</v>
      </c>
      <c r="F14" s="10" t="s">
        <v>47</v>
      </c>
      <c r="G14" s="10">
        <v>5900</v>
      </c>
      <c r="H14" s="10">
        <v>3600</v>
      </c>
      <c r="I14" s="10">
        <f t="shared" si="0"/>
        <v>9500</v>
      </c>
    </row>
    <row r="15" spans="1:9" x14ac:dyDescent="0.3">
      <c r="A15" s="10">
        <v>13</v>
      </c>
      <c r="B15" s="82" t="s">
        <v>511</v>
      </c>
      <c r="C15" s="10" t="s">
        <v>44</v>
      </c>
      <c r="D15" s="10" t="s">
        <v>124</v>
      </c>
      <c r="E15" s="10" t="s">
        <v>299</v>
      </c>
      <c r="F15" s="10" t="s">
        <v>47</v>
      </c>
      <c r="G15" s="10">
        <v>5900</v>
      </c>
      <c r="H15" s="10">
        <v>3600</v>
      </c>
      <c r="I15" s="10">
        <f t="shared" si="0"/>
        <v>9500</v>
      </c>
    </row>
    <row r="16" spans="1:9" x14ac:dyDescent="0.3">
      <c r="A16" s="10">
        <v>14</v>
      </c>
      <c r="B16" s="83" t="s">
        <v>512</v>
      </c>
      <c r="C16" s="10" t="s">
        <v>71</v>
      </c>
      <c r="D16" s="10" t="s">
        <v>44</v>
      </c>
      <c r="E16" s="10" t="s">
        <v>282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82" t="s">
        <v>512</v>
      </c>
      <c r="C17" s="10" t="s">
        <v>71</v>
      </c>
      <c r="D17" s="10" t="s">
        <v>44</v>
      </c>
      <c r="E17" s="10" t="s">
        <v>57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83" t="s">
        <v>512</v>
      </c>
      <c r="C18" s="10" t="s">
        <v>44</v>
      </c>
      <c r="D18" s="10" t="s">
        <v>124</v>
      </c>
      <c r="E18" s="10" t="s">
        <v>60</v>
      </c>
      <c r="F18" s="10" t="s">
        <v>61</v>
      </c>
      <c r="G18" s="10">
        <v>4900</v>
      </c>
      <c r="H18" s="10">
        <v>1200</v>
      </c>
      <c r="I18" s="10">
        <f t="shared" si="0"/>
        <v>6100</v>
      </c>
    </row>
    <row r="19" spans="1:9" x14ac:dyDescent="0.3">
      <c r="A19" s="10">
        <v>17</v>
      </c>
      <c r="B19" s="82" t="s">
        <v>512</v>
      </c>
      <c r="C19" s="10" t="s">
        <v>473</v>
      </c>
      <c r="D19" s="10" t="s">
        <v>44</v>
      </c>
      <c r="E19" s="10" t="s">
        <v>478</v>
      </c>
      <c r="F19" s="10" t="s">
        <v>47</v>
      </c>
      <c r="G19" s="10">
        <v>7500</v>
      </c>
      <c r="H19" s="10">
        <v>3600</v>
      </c>
      <c r="I19" s="10">
        <f t="shared" si="0"/>
        <v>11100</v>
      </c>
    </row>
    <row r="20" spans="1:9" x14ac:dyDescent="0.3">
      <c r="A20" s="10">
        <v>18</v>
      </c>
      <c r="B20" s="83" t="s">
        <v>513</v>
      </c>
      <c r="C20" s="10" t="s">
        <v>43</v>
      </c>
      <c r="D20" s="10" t="s">
        <v>44</v>
      </c>
      <c r="E20" s="10" t="s">
        <v>77</v>
      </c>
      <c r="F20" s="10" t="s">
        <v>47</v>
      </c>
      <c r="G20" s="10">
        <v>7500</v>
      </c>
      <c r="H20" s="10">
        <v>3600</v>
      </c>
      <c r="I20" s="10">
        <f t="shared" si="0"/>
        <v>11100</v>
      </c>
    </row>
    <row r="21" spans="1:9" x14ac:dyDescent="0.3">
      <c r="A21" s="10">
        <v>19</v>
      </c>
      <c r="B21" s="82" t="s">
        <v>513</v>
      </c>
      <c r="C21" s="10" t="s">
        <v>71</v>
      </c>
      <c r="D21" s="10" t="s">
        <v>44</v>
      </c>
      <c r="E21" s="10" t="s">
        <v>282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83" t="s">
        <v>513</v>
      </c>
      <c r="C22" s="10" t="s">
        <v>473</v>
      </c>
      <c r="D22" s="10" t="s">
        <v>44</v>
      </c>
      <c r="E22" s="10" t="s">
        <v>57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82" t="s">
        <v>513</v>
      </c>
      <c r="C23" s="10" t="s">
        <v>44</v>
      </c>
      <c r="D23" s="10" t="s">
        <v>124</v>
      </c>
      <c r="E23" s="10" t="s">
        <v>57</v>
      </c>
      <c r="F23" s="10" t="s">
        <v>47</v>
      </c>
      <c r="G23" s="10">
        <v>5900</v>
      </c>
      <c r="H23" s="10">
        <v>3600</v>
      </c>
      <c r="I23" s="10">
        <f t="shared" si="0"/>
        <v>9500</v>
      </c>
    </row>
    <row r="24" spans="1:9" x14ac:dyDescent="0.3">
      <c r="A24" s="10">
        <v>22</v>
      </c>
      <c r="B24" s="83" t="s">
        <v>514</v>
      </c>
      <c r="C24" s="10" t="s">
        <v>44</v>
      </c>
      <c r="D24" s="10" t="s">
        <v>124</v>
      </c>
      <c r="E24" s="10" t="s">
        <v>60</v>
      </c>
      <c r="F24" s="10" t="s">
        <v>61</v>
      </c>
      <c r="G24" s="10">
        <v>4900</v>
      </c>
      <c r="H24" s="10">
        <v>1200</v>
      </c>
      <c r="I24" s="10">
        <f t="shared" si="0"/>
        <v>6100</v>
      </c>
    </row>
    <row r="25" spans="1:9" x14ac:dyDescent="0.3">
      <c r="A25" s="10">
        <v>23</v>
      </c>
      <c r="B25" s="82" t="s">
        <v>514</v>
      </c>
      <c r="C25" s="10" t="s">
        <v>43</v>
      </c>
      <c r="D25" s="10" t="s">
        <v>44</v>
      </c>
      <c r="E25" s="10" t="s">
        <v>60</v>
      </c>
      <c r="F25" s="10" t="s">
        <v>61</v>
      </c>
      <c r="G25" s="10">
        <v>6000</v>
      </c>
      <c r="H25" s="10">
        <v>1200</v>
      </c>
      <c r="I25" s="10">
        <f t="shared" si="0"/>
        <v>7200</v>
      </c>
    </row>
    <row r="26" spans="1:9" x14ac:dyDescent="0.3">
      <c r="A26" s="10">
        <v>24</v>
      </c>
      <c r="B26" s="83" t="s">
        <v>514</v>
      </c>
      <c r="C26" s="10" t="s">
        <v>473</v>
      </c>
      <c r="D26" s="10" t="s">
        <v>44</v>
      </c>
      <c r="E26" s="10" t="s">
        <v>94</v>
      </c>
      <c r="F26" s="10" t="s">
        <v>63</v>
      </c>
      <c r="G26" s="10">
        <v>4000</v>
      </c>
      <c r="H26" s="10">
        <v>600</v>
      </c>
      <c r="I26" s="10">
        <f t="shared" si="0"/>
        <v>4600</v>
      </c>
    </row>
    <row r="27" spans="1:9" x14ac:dyDescent="0.3">
      <c r="A27" s="10">
        <v>25</v>
      </c>
      <c r="B27" s="82" t="s">
        <v>515</v>
      </c>
      <c r="C27" s="10" t="s">
        <v>71</v>
      </c>
      <c r="D27" s="10" t="s">
        <v>44</v>
      </c>
      <c r="E27" s="10" t="s">
        <v>282</v>
      </c>
      <c r="F27" s="10" t="s">
        <v>47</v>
      </c>
      <c r="G27" s="10">
        <v>7500</v>
      </c>
      <c r="H27" s="10">
        <v>3600</v>
      </c>
      <c r="I27" s="10">
        <f t="shared" si="0"/>
        <v>11100</v>
      </c>
    </row>
    <row r="28" spans="1:9" x14ac:dyDescent="0.3">
      <c r="A28" s="10">
        <v>26</v>
      </c>
      <c r="B28" s="83" t="s">
        <v>515</v>
      </c>
      <c r="C28" s="10" t="s">
        <v>71</v>
      </c>
      <c r="D28" s="10" t="s">
        <v>44</v>
      </c>
      <c r="E28" s="10" t="s">
        <v>77</v>
      </c>
      <c r="F28" s="10" t="s">
        <v>47</v>
      </c>
      <c r="G28" s="10">
        <v>7500</v>
      </c>
      <c r="H28" s="10">
        <v>3600</v>
      </c>
      <c r="I28" s="10">
        <f t="shared" si="0"/>
        <v>11100</v>
      </c>
    </row>
    <row r="29" spans="1:9" x14ac:dyDescent="0.3">
      <c r="A29" s="10">
        <v>27</v>
      </c>
      <c r="B29" s="82" t="s">
        <v>516</v>
      </c>
      <c r="C29" s="10" t="s">
        <v>43</v>
      </c>
      <c r="D29" s="10" t="s">
        <v>44</v>
      </c>
      <c r="E29" s="10" t="s">
        <v>57</v>
      </c>
      <c r="F29" s="10" t="s">
        <v>47</v>
      </c>
      <c r="G29" s="10">
        <v>7500</v>
      </c>
      <c r="H29" s="10">
        <v>3600</v>
      </c>
      <c r="I29" s="10">
        <f t="shared" si="0"/>
        <v>11100</v>
      </c>
    </row>
    <row r="30" spans="1:9" x14ac:dyDescent="0.3">
      <c r="A30" s="10">
        <v>28</v>
      </c>
      <c r="B30" s="83" t="s">
        <v>516</v>
      </c>
      <c r="C30" s="10" t="s">
        <v>71</v>
      </c>
      <c r="D30" s="10" t="s">
        <v>44</v>
      </c>
      <c r="E30" s="10" t="s">
        <v>282</v>
      </c>
      <c r="F30" s="10" t="s">
        <v>47</v>
      </c>
      <c r="G30" s="10">
        <v>7500</v>
      </c>
      <c r="H30" s="10">
        <v>3600</v>
      </c>
      <c r="I30" s="10">
        <f>+H30+G30</f>
        <v>11100</v>
      </c>
    </row>
    <row r="31" spans="1:9" x14ac:dyDescent="0.3">
      <c r="A31" s="10">
        <v>29</v>
      </c>
      <c r="B31" s="82" t="s">
        <v>517</v>
      </c>
      <c r="C31" s="10" t="s">
        <v>43</v>
      </c>
      <c r="D31" s="10" t="s">
        <v>44</v>
      </c>
      <c r="E31" s="10" t="s">
        <v>77</v>
      </c>
      <c r="F31" s="10" t="s">
        <v>47</v>
      </c>
      <c r="G31" s="10">
        <v>7500</v>
      </c>
      <c r="H31" s="10">
        <v>3600</v>
      </c>
      <c r="I31" s="10">
        <f t="shared" si="0"/>
        <v>11100</v>
      </c>
    </row>
    <row r="32" spans="1:9" x14ac:dyDescent="0.3">
      <c r="A32" s="10">
        <v>30</v>
      </c>
      <c r="B32" s="83" t="s">
        <v>517</v>
      </c>
      <c r="C32" s="10" t="s">
        <v>44</v>
      </c>
      <c r="D32" s="10" t="s">
        <v>518</v>
      </c>
      <c r="E32" s="10" t="s">
        <v>77</v>
      </c>
      <c r="F32" s="10" t="s">
        <v>47</v>
      </c>
      <c r="G32" s="10">
        <v>9000</v>
      </c>
      <c r="H32" s="10">
        <v>3600</v>
      </c>
      <c r="I32" s="10">
        <f t="shared" si="0"/>
        <v>12600</v>
      </c>
    </row>
    <row r="33" spans="1:9" x14ac:dyDescent="0.3">
      <c r="A33" s="10">
        <v>31</v>
      </c>
      <c r="B33" s="82" t="s">
        <v>517</v>
      </c>
      <c r="C33" s="10" t="s">
        <v>44</v>
      </c>
      <c r="D33" s="10" t="s">
        <v>518</v>
      </c>
      <c r="E33" s="10" t="s">
        <v>57</v>
      </c>
      <c r="F33" s="10" t="s">
        <v>47</v>
      </c>
      <c r="G33" s="10">
        <v>9000</v>
      </c>
      <c r="H33" s="10">
        <v>3600</v>
      </c>
      <c r="I33" s="10">
        <f t="shared" si="0"/>
        <v>12600</v>
      </c>
    </row>
    <row r="34" spans="1:9" x14ac:dyDescent="0.3">
      <c r="F34" s="84" t="s">
        <v>41</v>
      </c>
      <c r="G34" s="77">
        <f>SUM(G3:G33)</f>
        <v>214500</v>
      </c>
      <c r="H34" s="77">
        <f>SUM(H3:H33)</f>
        <v>99000</v>
      </c>
      <c r="I34" s="77">
        <f>SUM(I3:I33)</f>
        <v>313500</v>
      </c>
    </row>
    <row r="39" spans="1:9" x14ac:dyDescent="0.3">
      <c r="A39" s="78" t="s">
        <v>535</v>
      </c>
    </row>
    <row r="40" spans="1:9" ht="28.8" x14ac:dyDescent="0.3">
      <c r="A40" s="80" t="s">
        <v>25</v>
      </c>
      <c r="B40" s="80" t="s">
        <v>26</v>
      </c>
      <c r="C40" s="80" t="s">
        <v>27</v>
      </c>
      <c r="D40" s="80" t="s">
        <v>28</v>
      </c>
      <c r="E40" s="80" t="s">
        <v>30</v>
      </c>
      <c r="F40" s="81" t="s">
        <v>34</v>
      </c>
      <c r="G40" s="80" t="s">
        <v>35</v>
      </c>
      <c r="H40" s="80" t="s">
        <v>36</v>
      </c>
      <c r="I40" s="81" t="s">
        <v>37</v>
      </c>
    </row>
    <row r="41" spans="1:9" x14ac:dyDescent="0.3">
      <c r="A41" s="10">
        <v>1</v>
      </c>
      <c r="B41" s="82" t="s">
        <v>520</v>
      </c>
      <c r="C41" s="10" t="s">
        <v>43</v>
      </c>
      <c r="D41" s="10" t="s">
        <v>44</v>
      </c>
      <c r="E41" s="10" t="s">
        <v>77</v>
      </c>
      <c r="F41" s="10" t="s">
        <v>47</v>
      </c>
      <c r="G41" s="10">
        <v>7500</v>
      </c>
      <c r="H41" s="10">
        <v>3600</v>
      </c>
      <c r="I41" s="10">
        <f t="shared" ref="I41:I72" si="1">+H41+G41</f>
        <v>11100</v>
      </c>
    </row>
    <row r="42" spans="1:9" x14ac:dyDescent="0.3">
      <c r="A42" s="10">
        <v>2</v>
      </c>
      <c r="B42" s="82" t="s">
        <v>520</v>
      </c>
      <c r="C42" s="10" t="s">
        <v>71</v>
      </c>
      <c r="D42" s="10" t="s">
        <v>44</v>
      </c>
      <c r="E42" s="10" t="s">
        <v>57</v>
      </c>
      <c r="F42" s="10" t="s">
        <v>47</v>
      </c>
      <c r="G42" s="10">
        <v>7500</v>
      </c>
      <c r="H42" s="10">
        <v>3600</v>
      </c>
      <c r="I42" s="10">
        <f t="shared" si="1"/>
        <v>11100</v>
      </c>
    </row>
    <row r="43" spans="1:9" x14ac:dyDescent="0.3">
      <c r="A43" s="10">
        <v>3</v>
      </c>
      <c r="B43" s="82" t="s">
        <v>520</v>
      </c>
      <c r="C43" s="10" t="s">
        <v>521</v>
      </c>
      <c r="D43" s="10" t="s">
        <v>44</v>
      </c>
      <c r="E43" s="10" t="s">
        <v>94</v>
      </c>
      <c r="F43" s="10" t="s">
        <v>61</v>
      </c>
      <c r="G43" s="10">
        <v>4900</v>
      </c>
      <c r="H43" s="10">
        <v>1200</v>
      </c>
      <c r="I43" s="10">
        <f t="shared" si="1"/>
        <v>6100</v>
      </c>
    </row>
    <row r="44" spans="1:9" x14ac:dyDescent="0.3">
      <c r="A44" s="10">
        <v>4</v>
      </c>
      <c r="B44" s="83" t="s">
        <v>522</v>
      </c>
      <c r="C44" s="10" t="s">
        <v>44</v>
      </c>
      <c r="D44" s="10" t="s">
        <v>65</v>
      </c>
      <c r="E44" s="10" t="s">
        <v>282</v>
      </c>
      <c r="F44" s="10" t="s">
        <v>47</v>
      </c>
      <c r="G44" s="10">
        <v>6200</v>
      </c>
      <c r="H44" s="10">
        <v>3600</v>
      </c>
      <c r="I44" s="10">
        <f t="shared" si="1"/>
        <v>9800</v>
      </c>
    </row>
    <row r="45" spans="1:9" x14ac:dyDescent="0.3">
      <c r="A45" s="10">
        <v>5</v>
      </c>
      <c r="B45" s="83" t="s">
        <v>522</v>
      </c>
      <c r="C45" s="10" t="s">
        <v>44</v>
      </c>
      <c r="D45" s="10" t="s">
        <v>124</v>
      </c>
      <c r="E45" s="10" t="s">
        <v>57</v>
      </c>
      <c r="F45" s="10" t="s">
        <v>47</v>
      </c>
      <c r="G45" s="10">
        <v>5900</v>
      </c>
      <c r="H45" s="10">
        <v>3600</v>
      </c>
      <c r="I45" s="10">
        <f t="shared" si="1"/>
        <v>9500</v>
      </c>
    </row>
    <row r="46" spans="1:9" x14ac:dyDescent="0.3">
      <c r="A46" s="10">
        <v>6</v>
      </c>
      <c r="B46" s="83" t="s">
        <v>523</v>
      </c>
      <c r="C46" s="10" t="s">
        <v>43</v>
      </c>
      <c r="D46" s="10" t="s">
        <v>44</v>
      </c>
      <c r="E46" s="10" t="s">
        <v>282</v>
      </c>
      <c r="F46" s="10" t="s">
        <v>47</v>
      </c>
      <c r="G46" s="10">
        <v>7500</v>
      </c>
      <c r="H46" s="10">
        <v>3600</v>
      </c>
      <c r="I46" s="10">
        <f t="shared" si="1"/>
        <v>11100</v>
      </c>
    </row>
    <row r="47" spans="1:9" x14ac:dyDescent="0.3">
      <c r="A47" s="10">
        <v>7</v>
      </c>
      <c r="B47" s="83" t="s">
        <v>523</v>
      </c>
      <c r="C47" s="10" t="s">
        <v>44</v>
      </c>
      <c r="D47" s="10" t="s">
        <v>124</v>
      </c>
      <c r="E47" s="10" t="s">
        <v>60</v>
      </c>
      <c r="F47" s="10" t="s">
        <v>63</v>
      </c>
      <c r="G47" s="10">
        <v>3500</v>
      </c>
      <c r="H47" s="10">
        <v>600</v>
      </c>
      <c r="I47" s="10">
        <f t="shared" si="1"/>
        <v>4100</v>
      </c>
    </row>
    <row r="48" spans="1:9" x14ac:dyDescent="0.3">
      <c r="A48" s="10">
        <v>8</v>
      </c>
      <c r="B48" s="83" t="s">
        <v>524</v>
      </c>
      <c r="C48" s="10" t="s">
        <v>43</v>
      </c>
      <c r="D48" s="10" t="s">
        <v>44</v>
      </c>
      <c r="E48" s="10" t="s">
        <v>92</v>
      </c>
      <c r="F48" s="10" t="s">
        <v>47</v>
      </c>
      <c r="G48" s="10">
        <v>7500</v>
      </c>
      <c r="H48" s="10">
        <v>3600</v>
      </c>
      <c r="I48" s="10">
        <f t="shared" si="1"/>
        <v>11100</v>
      </c>
    </row>
    <row r="49" spans="1:9" x14ac:dyDescent="0.3">
      <c r="A49" s="10">
        <v>9</v>
      </c>
      <c r="B49" s="83" t="s">
        <v>524</v>
      </c>
      <c r="C49" s="10" t="s">
        <v>473</v>
      </c>
      <c r="D49" s="10" t="s">
        <v>44</v>
      </c>
      <c r="E49" s="10" t="s">
        <v>282</v>
      </c>
      <c r="F49" s="10" t="s">
        <v>47</v>
      </c>
      <c r="G49" s="10">
        <v>7500</v>
      </c>
      <c r="H49" s="10">
        <v>3600</v>
      </c>
      <c r="I49" s="10">
        <f t="shared" si="1"/>
        <v>11100</v>
      </c>
    </row>
    <row r="50" spans="1:9" x14ac:dyDescent="0.3">
      <c r="A50" s="10">
        <v>10</v>
      </c>
      <c r="B50" s="83" t="s">
        <v>524</v>
      </c>
      <c r="C50" s="10" t="s">
        <v>473</v>
      </c>
      <c r="D50" s="10" t="s">
        <v>44</v>
      </c>
      <c r="E50" s="10" t="s">
        <v>125</v>
      </c>
      <c r="F50" s="10" t="s">
        <v>47</v>
      </c>
      <c r="G50" s="10">
        <v>7500</v>
      </c>
      <c r="H50" s="10">
        <v>3600</v>
      </c>
      <c r="I50" s="10">
        <f t="shared" si="1"/>
        <v>11100</v>
      </c>
    </row>
    <row r="51" spans="1:9" x14ac:dyDescent="0.3">
      <c r="A51" s="10">
        <v>11</v>
      </c>
      <c r="B51" s="83" t="s">
        <v>525</v>
      </c>
      <c r="C51" s="10" t="s">
        <v>71</v>
      </c>
      <c r="D51" s="10" t="s">
        <v>44</v>
      </c>
      <c r="E51" s="10" t="s">
        <v>77</v>
      </c>
      <c r="F51" s="10" t="s">
        <v>47</v>
      </c>
      <c r="G51" s="10">
        <v>7500</v>
      </c>
      <c r="H51" s="10">
        <v>3600</v>
      </c>
      <c r="I51" s="10">
        <f t="shared" si="1"/>
        <v>11100</v>
      </c>
    </row>
    <row r="52" spans="1:9" x14ac:dyDescent="0.3">
      <c r="A52" s="10">
        <v>12</v>
      </c>
      <c r="B52" s="83" t="s">
        <v>525</v>
      </c>
      <c r="C52" s="10" t="s">
        <v>71</v>
      </c>
      <c r="D52" s="10" t="s">
        <v>44</v>
      </c>
      <c r="E52" s="10" t="s">
        <v>282</v>
      </c>
      <c r="F52" s="10" t="s">
        <v>47</v>
      </c>
      <c r="G52" s="10">
        <v>7500</v>
      </c>
      <c r="H52" s="10">
        <v>3600</v>
      </c>
      <c r="I52" s="10">
        <f t="shared" si="1"/>
        <v>11100</v>
      </c>
    </row>
    <row r="53" spans="1:9" x14ac:dyDescent="0.3">
      <c r="A53" s="10">
        <v>13</v>
      </c>
      <c r="B53" s="83" t="s">
        <v>525</v>
      </c>
      <c r="C53" s="10" t="s">
        <v>44</v>
      </c>
      <c r="D53" s="10" t="s">
        <v>124</v>
      </c>
      <c r="E53" s="10" t="s">
        <v>77</v>
      </c>
      <c r="F53" s="10" t="s">
        <v>47</v>
      </c>
      <c r="G53" s="10">
        <v>5900</v>
      </c>
      <c r="H53" s="10">
        <v>3600</v>
      </c>
      <c r="I53" s="10">
        <f t="shared" si="1"/>
        <v>9500</v>
      </c>
    </row>
    <row r="54" spans="1:9" x14ac:dyDescent="0.3">
      <c r="A54" s="10">
        <v>14</v>
      </c>
      <c r="B54" s="83" t="s">
        <v>525</v>
      </c>
      <c r="C54" s="10" t="s">
        <v>43</v>
      </c>
      <c r="D54" s="10" t="s">
        <v>44</v>
      </c>
      <c r="E54" s="10" t="s">
        <v>531</v>
      </c>
      <c r="F54" s="10" t="s">
        <v>61</v>
      </c>
      <c r="G54" s="10">
        <v>6000</v>
      </c>
      <c r="H54" s="10">
        <v>1200</v>
      </c>
      <c r="I54" s="10">
        <f t="shared" si="1"/>
        <v>7200</v>
      </c>
    </row>
    <row r="55" spans="1:9" x14ac:dyDescent="0.3">
      <c r="A55" s="10">
        <v>15</v>
      </c>
      <c r="B55" s="83" t="s">
        <v>526</v>
      </c>
      <c r="C55" s="10" t="s">
        <v>71</v>
      </c>
      <c r="D55" s="10" t="s">
        <v>44</v>
      </c>
      <c r="E55" s="10" t="s">
        <v>282</v>
      </c>
      <c r="F55" s="10" t="s">
        <v>47</v>
      </c>
      <c r="G55" s="10">
        <v>7500</v>
      </c>
      <c r="H55" s="10">
        <v>3600</v>
      </c>
      <c r="I55" s="10">
        <f t="shared" si="1"/>
        <v>11100</v>
      </c>
    </row>
    <row r="56" spans="1:9" x14ac:dyDescent="0.3">
      <c r="A56" s="10">
        <v>16</v>
      </c>
      <c r="B56" s="83" t="s">
        <v>527</v>
      </c>
      <c r="C56" s="10" t="s">
        <v>43</v>
      </c>
      <c r="D56" s="10" t="s">
        <v>44</v>
      </c>
      <c r="E56" s="10" t="s">
        <v>282</v>
      </c>
      <c r="F56" s="10" t="s">
        <v>47</v>
      </c>
      <c r="G56" s="10">
        <v>7500</v>
      </c>
      <c r="H56" s="10">
        <v>3600</v>
      </c>
      <c r="I56" s="10">
        <f t="shared" si="1"/>
        <v>11100</v>
      </c>
    </row>
    <row r="57" spans="1:9" x14ac:dyDescent="0.3">
      <c r="A57" s="10">
        <v>17</v>
      </c>
      <c r="B57" s="83" t="s">
        <v>528</v>
      </c>
      <c r="C57" s="10" t="s">
        <v>43</v>
      </c>
      <c r="D57" s="10" t="s">
        <v>44</v>
      </c>
      <c r="E57" s="10" t="s">
        <v>282</v>
      </c>
      <c r="F57" s="10" t="s">
        <v>47</v>
      </c>
      <c r="G57" s="10">
        <v>7500</v>
      </c>
      <c r="H57" s="10">
        <v>3600</v>
      </c>
      <c r="I57" s="10">
        <f t="shared" si="1"/>
        <v>11100</v>
      </c>
    </row>
    <row r="58" spans="1:9" x14ac:dyDescent="0.3">
      <c r="A58" s="10">
        <v>18</v>
      </c>
      <c r="B58" s="83" t="s">
        <v>528</v>
      </c>
      <c r="C58" s="10" t="s">
        <v>86</v>
      </c>
      <c r="D58" s="10" t="s">
        <v>473</v>
      </c>
      <c r="E58" s="10" t="s">
        <v>57</v>
      </c>
      <c r="F58" s="10" t="s">
        <v>47</v>
      </c>
      <c r="G58" s="10">
        <v>7500</v>
      </c>
      <c r="H58" s="10">
        <v>3600</v>
      </c>
      <c r="I58" s="10">
        <f t="shared" si="1"/>
        <v>11100</v>
      </c>
    </row>
    <row r="59" spans="1:9" x14ac:dyDescent="0.3">
      <c r="A59" s="10">
        <v>19</v>
      </c>
      <c r="B59" s="83" t="s">
        <v>528</v>
      </c>
      <c r="C59" s="10" t="s">
        <v>86</v>
      </c>
      <c r="D59" s="10" t="s">
        <v>473</v>
      </c>
      <c r="E59" s="10" t="s">
        <v>92</v>
      </c>
      <c r="F59" s="10" t="s">
        <v>47</v>
      </c>
      <c r="G59" s="10">
        <v>7500</v>
      </c>
      <c r="H59" s="10">
        <v>3600</v>
      </c>
      <c r="I59" s="10">
        <f t="shared" si="1"/>
        <v>11100</v>
      </c>
    </row>
    <row r="60" spans="1:9" x14ac:dyDescent="0.3">
      <c r="A60" s="10">
        <v>20</v>
      </c>
      <c r="B60" s="83" t="s">
        <v>528</v>
      </c>
      <c r="C60" s="10" t="s">
        <v>86</v>
      </c>
      <c r="D60" s="10" t="s">
        <v>473</v>
      </c>
      <c r="E60" s="10" t="s">
        <v>77</v>
      </c>
      <c r="F60" s="10" t="s">
        <v>47</v>
      </c>
      <c r="G60" s="10">
        <v>7500</v>
      </c>
      <c r="H60" s="10">
        <v>3600</v>
      </c>
      <c r="I60" s="10">
        <f t="shared" si="1"/>
        <v>11100</v>
      </c>
    </row>
    <row r="61" spans="1:9" x14ac:dyDescent="0.3">
      <c r="A61" s="10">
        <v>21</v>
      </c>
      <c r="B61" s="83" t="s">
        <v>528</v>
      </c>
      <c r="C61" s="10" t="s">
        <v>44</v>
      </c>
      <c r="D61" s="10" t="s">
        <v>124</v>
      </c>
      <c r="E61" s="10" t="s">
        <v>282</v>
      </c>
      <c r="F61" s="10" t="s">
        <v>47</v>
      </c>
      <c r="G61" s="10">
        <v>5900</v>
      </c>
      <c r="H61" s="10">
        <v>3600</v>
      </c>
      <c r="I61" s="10">
        <f t="shared" si="1"/>
        <v>9500</v>
      </c>
    </row>
    <row r="62" spans="1:9" x14ac:dyDescent="0.3">
      <c r="A62" s="10">
        <v>22</v>
      </c>
      <c r="B62" s="83" t="s">
        <v>529</v>
      </c>
      <c r="C62" s="10" t="s">
        <v>473</v>
      </c>
      <c r="D62" s="10" t="s">
        <v>44</v>
      </c>
      <c r="E62" s="10" t="s">
        <v>77</v>
      </c>
      <c r="F62" s="10" t="s">
        <v>47</v>
      </c>
      <c r="G62" s="10">
        <v>7500</v>
      </c>
      <c r="H62" s="10">
        <v>3600</v>
      </c>
      <c r="I62" s="10">
        <f t="shared" si="1"/>
        <v>11100</v>
      </c>
    </row>
    <row r="63" spans="1:9" x14ac:dyDescent="0.3">
      <c r="A63" s="10">
        <v>23</v>
      </c>
      <c r="B63" s="83" t="s">
        <v>529</v>
      </c>
      <c r="C63" s="10" t="s">
        <v>44</v>
      </c>
      <c r="D63" s="10" t="s">
        <v>124</v>
      </c>
      <c r="E63" s="10" t="s">
        <v>77</v>
      </c>
      <c r="F63" s="10" t="s">
        <v>47</v>
      </c>
      <c r="G63" s="10">
        <v>5900</v>
      </c>
      <c r="H63" s="10">
        <v>3600</v>
      </c>
      <c r="I63" s="10">
        <f t="shared" si="1"/>
        <v>9500</v>
      </c>
    </row>
    <row r="64" spans="1:9" x14ac:dyDescent="0.3">
      <c r="A64" s="10">
        <v>24</v>
      </c>
      <c r="B64" s="83" t="s">
        <v>530</v>
      </c>
      <c r="C64" s="10" t="s">
        <v>86</v>
      </c>
      <c r="D64" s="10" t="s">
        <v>473</v>
      </c>
      <c r="E64" s="10" t="s">
        <v>77</v>
      </c>
      <c r="F64" s="10" t="s">
        <v>47</v>
      </c>
      <c r="G64" s="10">
        <v>7500</v>
      </c>
      <c r="H64" s="10">
        <v>3600</v>
      </c>
      <c r="I64" s="10">
        <f t="shared" si="1"/>
        <v>11100</v>
      </c>
    </row>
    <row r="65" spans="1:9" x14ac:dyDescent="0.3">
      <c r="A65" s="10">
        <v>25</v>
      </c>
      <c r="B65" s="83" t="s">
        <v>530</v>
      </c>
      <c r="C65" s="10" t="s">
        <v>86</v>
      </c>
      <c r="D65" s="10" t="s">
        <v>473</v>
      </c>
      <c r="E65" s="11" t="s">
        <v>532</v>
      </c>
      <c r="F65" s="10" t="s">
        <v>47</v>
      </c>
      <c r="G65" s="10">
        <v>7500</v>
      </c>
      <c r="H65" s="10">
        <v>3600</v>
      </c>
      <c r="I65" s="10">
        <f t="shared" si="1"/>
        <v>11100</v>
      </c>
    </row>
    <row r="66" spans="1:9" x14ac:dyDescent="0.3">
      <c r="A66" s="10">
        <v>26</v>
      </c>
      <c r="B66" s="83" t="s">
        <v>530</v>
      </c>
      <c r="C66" s="10" t="s">
        <v>86</v>
      </c>
      <c r="D66" s="10" t="s">
        <v>473</v>
      </c>
      <c r="E66" s="11" t="s">
        <v>125</v>
      </c>
      <c r="F66" s="10" t="s">
        <v>47</v>
      </c>
      <c r="G66" s="10">
        <v>7500</v>
      </c>
      <c r="H66" s="10">
        <v>3600</v>
      </c>
      <c r="I66" s="10">
        <f t="shared" si="1"/>
        <v>11100</v>
      </c>
    </row>
    <row r="67" spans="1:9" x14ac:dyDescent="0.3">
      <c r="A67" s="10">
        <v>27</v>
      </c>
      <c r="B67" s="85" t="s">
        <v>536</v>
      </c>
      <c r="C67" s="11" t="s">
        <v>71</v>
      </c>
      <c r="D67" s="11" t="s">
        <v>44</v>
      </c>
      <c r="E67" s="11" t="s">
        <v>77</v>
      </c>
      <c r="F67" s="10" t="s">
        <v>47</v>
      </c>
      <c r="G67" s="10">
        <v>7500</v>
      </c>
      <c r="H67" s="10">
        <v>3600</v>
      </c>
      <c r="I67" s="10">
        <f t="shared" si="1"/>
        <v>11100</v>
      </c>
    </row>
    <row r="68" spans="1:9" x14ac:dyDescent="0.3">
      <c r="A68" s="10">
        <v>28</v>
      </c>
      <c r="B68" s="85" t="s">
        <v>536</v>
      </c>
      <c r="C68" s="11" t="s">
        <v>473</v>
      </c>
      <c r="D68" s="11" t="s">
        <v>44</v>
      </c>
      <c r="E68" s="11" t="s">
        <v>57</v>
      </c>
      <c r="F68" s="10" t="s">
        <v>47</v>
      </c>
      <c r="G68" s="10">
        <v>7500</v>
      </c>
      <c r="H68" s="10">
        <v>3600</v>
      </c>
      <c r="I68" s="10">
        <f t="shared" si="1"/>
        <v>11100</v>
      </c>
    </row>
    <row r="69" spans="1:9" x14ac:dyDescent="0.3">
      <c r="A69" s="10">
        <v>29</v>
      </c>
      <c r="B69" s="85" t="s">
        <v>536</v>
      </c>
      <c r="C69" s="11" t="s">
        <v>86</v>
      </c>
      <c r="D69" s="11" t="s">
        <v>473</v>
      </c>
      <c r="E69" s="11" t="s">
        <v>57</v>
      </c>
      <c r="F69" s="10" t="s">
        <v>47</v>
      </c>
      <c r="G69" s="10">
        <v>7500</v>
      </c>
      <c r="H69" s="10">
        <v>3600</v>
      </c>
      <c r="I69" s="10">
        <f t="shared" si="1"/>
        <v>11100</v>
      </c>
    </row>
    <row r="70" spans="1:9" x14ac:dyDescent="0.3">
      <c r="A70" s="10">
        <v>30</v>
      </c>
      <c r="B70" s="85" t="s">
        <v>536</v>
      </c>
      <c r="C70" s="11" t="s">
        <v>86</v>
      </c>
      <c r="D70" s="11" t="s">
        <v>473</v>
      </c>
      <c r="E70" s="11" t="s">
        <v>532</v>
      </c>
      <c r="F70" s="10" t="s">
        <v>47</v>
      </c>
      <c r="G70" s="10">
        <v>7500</v>
      </c>
      <c r="H70" s="10">
        <v>3600</v>
      </c>
      <c r="I70" s="10">
        <f t="shared" si="1"/>
        <v>11100</v>
      </c>
    </row>
    <row r="71" spans="1:9" x14ac:dyDescent="0.3">
      <c r="A71" s="10">
        <v>31</v>
      </c>
      <c r="B71" s="85" t="s">
        <v>534</v>
      </c>
      <c r="C71" s="11" t="s">
        <v>71</v>
      </c>
      <c r="D71" s="11" t="s">
        <v>44</v>
      </c>
      <c r="E71" s="11" t="s">
        <v>532</v>
      </c>
      <c r="F71" s="10" t="s">
        <v>55</v>
      </c>
      <c r="G71" s="10">
        <v>5200</v>
      </c>
      <c r="H71" s="10">
        <v>2400</v>
      </c>
      <c r="I71" s="10">
        <f t="shared" si="1"/>
        <v>7600</v>
      </c>
    </row>
    <row r="72" spans="1:9" x14ac:dyDescent="0.3">
      <c r="A72" s="10">
        <v>32</v>
      </c>
      <c r="B72" s="85" t="s">
        <v>534</v>
      </c>
      <c r="C72" s="11" t="s">
        <v>44</v>
      </c>
      <c r="D72" s="11" t="s">
        <v>124</v>
      </c>
      <c r="E72" s="11" t="s">
        <v>531</v>
      </c>
      <c r="F72" s="10" t="s">
        <v>63</v>
      </c>
      <c r="G72" s="10">
        <v>3500</v>
      </c>
      <c r="H72" s="10">
        <v>600</v>
      </c>
      <c r="I72" s="10">
        <f t="shared" si="1"/>
        <v>4100</v>
      </c>
    </row>
    <row r="73" spans="1:9" x14ac:dyDescent="0.3">
      <c r="A73" s="10"/>
      <c r="B73" s="85"/>
      <c r="F73" s="84" t="s">
        <v>41</v>
      </c>
      <c r="G73" s="77">
        <f>SUM(G41:G72)</f>
        <v>217900</v>
      </c>
      <c r="H73" s="77">
        <f>SUM(H41:H72)</f>
        <v>103200</v>
      </c>
      <c r="I73" s="77">
        <f>SUM(I41:I72)</f>
        <v>321100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360A-A7C8-4F45-B62D-19B548A1EECE}">
  <dimension ref="A1:I88"/>
  <sheetViews>
    <sheetView zoomScale="92" zoomScaleNormal="55" workbookViewId="0"/>
  </sheetViews>
  <sheetFormatPr defaultRowHeight="14.4" x14ac:dyDescent="0.3"/>
  <cols>
    <col min="2" max="2" width="12" customWidth="1"/>
    <col min="3" max="3" width="25.6640625" customWidth="1"/>
    <col min="4" max="4" width="19" customWidth="1"/>
    <col min="5" max="5" width="19.5546875" customWidth="1"/>
    <col min="6" max="6" width="11.44140625" customWidth="1"/>
  </cols>
  <sheetData>
    <row r="1" spans="1:9" x14ac:dyDescent="0.3">
      <c r="A1" s="8" t="s">
        <v>546</v>
      </c>
    </row>
    <row r="2" spans="1:9" ht="28.8" x14ac:dyDescent="0.3">
      <c r="A2" s="80" t="s">
        <v>25</v>
      </c>
      <c r="B2" s="80" t="s">
        <v>26</v>
      </c>
      <c r="C2" s="80" t="s">
        <v>27</v>
      </c>
      <c r="D2" s="80" t="s">
        <v>28</v>
      </c>
      <c r="E2" s="80" t="s">
        <v>30</v>
      </c>
      <c r="F2" s="81" t="s">
        <v>34</v>
      </c>
      <c r="G2" s="80" t="s">
        <v>35</v>
      </c>
      <c r="H2" s="80" t="s">
        <v>36</v>
      </c>
      <c r="I2" s="81" t="s">
        <v>37</v>
      </c>
    </row>
    <row r="3" spans="1:9" x14ac:dyDescent="0.3">
      <c r="A3" s="10">
        <v>1</v>
      </c>
      <c r="B3" s="82" t="s">
        <v>537</v>
      </c>
      <c r="C3" s="10" t="s">
        <v>43</v>
      </c>
      <c r="D3" s="10" t="s">
        <v>44</v>
      </c>
      <c r="E3" s="10" t="s">
        <v>282</v>
      </c>
      <c r="F3" s="10" t="s">
        <v>46</v>
      </c>
      <c r="G3" s="10">
        <v>7500</v>
      </c>
      <c r="H3" s="10">
        <v>3600</v>
      </c>
      <c r="I3" s="10">
        <f t="shared" ref="I3:I28" si="0">+H3+G3</f>
        <v>11100</v>
      </c>
    </row>
    <row r="4" spans="1:9" x14ac:dyDescent="0.3">
      <c r="A4" s="10">
        <v>2</v>
      </c>
      <c r="B4" s="82" t="s">
        <v>545</v>
      </c>
      <c r="C4" s="10" t="s">
        <v>44</v>
      </c>
      <c r="D4" s="10" t="s">
        <v>124</v>
      </c>
      <c r="E4" s="10" t="s">
        <v>92</v>
      </c>
      <c r="F4" s="10" t="s">
        <v>47</v>
      </c>
      <c r="G4" s="10">
        <v>5900</v>
      </c>
      <c r="H4" s="10">
        <v>3600</v>
      </c>
      <c r="I4" s="10">
        <f t="shared" si="0"/>
        <v>9500</v>
      </c>
    </row>
    <row r="5" spans="1:9" x14ac:dyDescent="0.3">
      <c r="A5" s="10">
        <v>3</v>
      </c>
      <c r="B5" s="82" t="s">
        <v>545</v>
      </c>
      <c r="C5" s="10" t="s">
        <v>86</v>
      </c>
      <c r="D5" s="10" t="s">
        <v>357</v>
      </c>
      <c r="E5" s="10" t="s">
        <v>57</v>
      </c>
      <c r="F5" s="10" t="s">
        <v>47</v>
      </c>
      <c r="G5" s="10">
        <v>7500</v>
      </c>
      <c r="H5" s="10">
        <v>3600</v>
      </c>
      <c r="I5" s="10">
        <f t="shared" si="0"/>
        <v>11100</v>
      </c>
    </row>
    <row r="6" spans="1:9" x14ac:dyDescent="0.3">
      <c r="A6" s="10">
        <v>4</v>
      </c>
      <c r="B6" s="82" t="s">
        <v>545</v>
      </c>
      <c r="C6" s="10" t="s">
        <v>86</v>
      </c>
      <c r="D6" s="10" t="s">
        <v>357</v>
      </c>
      <c r="E6" s="10" t="s">
        <v>77</v>
      </c>
      <c r="F6" s="10" t="s">
        <v>47</v>
      </c>
      <c r="G6" s="10">
        <v>7500</v>
      </c>
      <c r="H6" s="10">
        <v>3600</v>
      </c>
      <c r="I6" s="10">
        <f t="shared" si="0"/>
        <v>11100</v>
      </c>
    </row>
    <row r="7" spans="1:9" x14ac:dyDescent="0.3">
      <c r="A7" s="10">
        <v>5</v>
      </c>
      <c r="B7" s="82" t="s">
        <v>545</v>
      </c>
      <c r="C7" s="10" t="s">
        <v>86</v>
      </c>
      <c r="D7" s="10" t="s">
        <v>357</v>
      </c>
      <c r="E7" s="10" t="s">
        <v>282</v>
      </c>
      <c r="F7" s="10" t="s">
        <v>47</v>
      </c>
      <c r="G7" s="10">
        <v>7500</v>
      </c>
      <c r="H7" s="10">
        <v>3600</v>
      </c>
      <c r="I7" s="10">
        <f t="shared" si="0"/>
        <v>11100</v>
      </c>
    </row>
    <row r="8" spans="1:9" x14ac:dyDescent="0.3">
      <c r="A8" s="10">
        <v>6</v>
      </c>
      <c r="B8" s="82" t="s">
        <v>538</v>
      </c>
      <c r="C8" s="10" t="s">
        <v>86</v>
      </c>
      <c r="D8" s="10" t="s">
        <v>357</v>
      </c>
      <c r="E8" s="10" t="s">
        <v>77</v>
      </c>
      <c r="F8" s="10" t="s">
        <v>47</v>
      </c>
      <c r="G8" s="10">
        <v>7500</v>
      </c>
      <c r="H8" s="10">
        <v>3600</v>
      </c>
      <c r="I8" s="10">
        <f t="shared" si="0"/>
        <v>11100</v>
      </c>
    </row>
    <row r="9" spans="1:9" x14ac:dyDescent="0.3">
      <c r="A9" s="10">
        <v>7</v>
      </c>
      <c r="B9" s="82" t="s">
        <v>538</v>
      </c>
      <c r="C9" s="10" t="s">
        <v>86</v>
      </c>
      <c r="D9" s="10" t="s">
        <v>357</v>
      </c>
      <c r="E9" s="10" t="s">
        <v>125</v>
      </c>
      <c r="F9" s="10" t="s">
        <v>47</v>
      </c>
      <c r="G9" s="10">
        <v>7500</v>
      </c>
      <c r="H9" s="10">
        <v>3600</v>
      </c>
      <c r="I9" s="10">
        <f t="shared" si="0"/>
        <v>11100</v>
      </c>
    </row>
    <row r="10" spans="1:9" x14ac:dyDescent="0.3">
      <c r="A10" s="10">
        <v>8</v>
      </c>
      <c r="B10" s="82" t="s">
        <v>538</v>
      </c>
      <c r="C10" s="10" t="s">
        <v>86</v>
      </c>
      <c r="D10" s="10" t="s">
        <v>357</v>
      </c>
      <c r="E10" s="10" t="s">
        <v>57</v>
      </c>
      <c r="F10" s="10" t="s">
        <v>47</v>
      </c>
      <c r="G10" s="10">
        <v>7500</v>
      </c>
      <c r="H10" s="10">
        <v>3600</v>
      </c>
      <c r="I10" s="10">
        <f t="shared" si="0"/>
        <v>11100</v>
      </c>
    </row>
    <row r="11" spans="1:9" x14ac:dyDescent="0.3">
      <c r="A11" s="10">
        <v>9</v>
      </c>
      <c r="B11" s="82" t="s">
        <v>538</v>
      </c>
      <c r="C11" s="10" t="s">
        <v>86</v>
      </c>
      <c r="D11" s="10" t="s">
        <v>357</v>
      </c>
      <c r="E11" s="10" t="s">
        <v>282</v>
      </c>
      <c r="F11" s="10" t="s">
        <v>47</v>
      </c>
      <c r="G11" s="10">
        <v>7500</v>
      </c>
      <c r="H11" s="10">
        <v>3600</v>
      </c>
      <c r="I11" s="10">
        <f t="shared" si="0"/>
        <v>11100</v>
      </c>
    </row>
    <row r="12" spans="1:9" x14ac:dyDescent="0.3">
      <c r="A12" s="10">
        <v>10</v>
      </c>
      <c r="B12" s="82" t="s">
        <v>538</v>
      </c>
      <c r="C12" s="10" t="s">
        <v>44</v>
      </c>
      <c r="D12" s="10" t="s">
        <v>124</v>
      </c>
      <c r="E12" s="10" t="s">
        <v>66</v>
      </c>
      <c r="F12" s="10" t="s">
        <v>63</v>
      </c>
      <c r="G12" s="10">
        <v>3500</v>
      </c>
      <c r="H12" s="10">
        <v>600</v>
      </c>
      <c r="I12" s="10">
        <f t="shared" si="0"/>
        <v>4100</v>
      </c>
    </row>
    <row r="13" spans="1:9" x14ac:dyDescent="0.3">
      <c r="A13" s="10">
        <v>11</v>
      </c>
      <c r="B13" s="83" t="s">
        <v>539</v>
      </c>
      <c r="C13" s="10" t="s">
        <v>86</v>
      </c>
      <c r="D13" s="10" t="s">
        <v>357</v>
      </c>
      <c r="E13" s="10" t="s">
        <v>57</v>
      </c>
      <c r="F13" s="10" t="s">
        <v>47</v>
      </c>
      <c r="G13" s="10">
        <v>7500</v>
      </c>
      <c r="H13" s="10">
        <v>3600</v>
      </c>
      <c r="I13" s="10">
        <f t="shared" si="0"/>
        <v>11100</v>
      </c>
    </row>
    <row r="14" spans="1:9" x14ac:dyDescent="0.3">
      <c r="A14" s="10">
        <v>12</v>
      </c>
      <c r="B14" s="83" t="s">
        <v>539</v>
      </c>
      <c r="C14" s="10" t="s">
        <v>86</v>
      </c>
      <c r="D14" s="10" t="s">
        <v>357</v>
      </c>
      <c r="E14" s="10" t="s">
        <v>77</v>
      </c>
      <c r="F14" s="10" t="s">
        <v>47</v>
      </c>
      <c r="G14" s="10">
        <v>7500</v>
      </c>
      <c r="H14" s="10">
        <v>3600</v>
      </c>
      <c r="I14" s="10">
        <f t="shared" si="0"/>
        <v>11100</v>
      </c>
    </row>
    <row r="15" spans="1:9" x14ac:dyDescent="0.3">
      <c r="A15" s="10">
        <v>13</v>
      </c>
      <c r="B15" s="83" t="s">
        <v>539</v>
      </c>
      <c r="C15" s="10" t="s">
        <v>86</v>
      </c>
      <c r="D15" s="10" t="s">
        <v>357</v>
      </c>
      <c r="E15" s="10" t="s">
        <v>282</v>
      </c>
      <c r="F15" s="10" t="s">
        <v>47</v>
      </c>
      <c r="G15" s="10">
        <v>7500</v>
      </c>
      <c r="H15" s="10">
        <v>3600</v>
      </c>
      <c r="I15" s="10">
        <f t="shared" si="0"/>
        <v>11100</v>
      </c>
    </row>
    <row r="16" spans="1:9" x14ac:dyDescent="0.3">
      <c r="A16" s="10">
        <v>14</v>
      </c>
      <c r="B16" s="83" t="s">
        <v>539</v>
      </c>
      <c r="C16" s="10" t="s">
        <v>357</v>
      </c>
      <c r="D16" s="10" t="s">
        <v>44</v>
      </c>
      <c r="E16" s="10" t="s">
        <v>532</v>
      </c>
      <c r="F16" s="10" t="s">
        <v>47</v>
      </c>
      <c r="G16" s="10">
        <v>7500</v>
      </c>
      <c r="H16" s="10">
        <v>3600</v>
      </c>
      <c r="I16" s="10">
        <f t="shared" si="0"/>
        <v>11100</v>
      </c>
    </row>
    <row r="17" spans="1:9" x14ac:dyDescent="0.3">
      <c r="A17" s="10">
        <v>15</v>
      </c>
      <c r="B17" s="83" t="s">
        <v>539</v>
      </c>
      <c r="C17" s="10" t="s">
        <v>473</v>
      </c>
      <c r="D17" s="10" t="s">
        <v>44</v>
      </c>
      <c r="E17" s="10" t="s">
        <v>92</v>
      </c>
      <c r="F17" s="10" t="s">
        <v>47</v>
      </c>
      <c r="G17" s="10">
        <v>7500</v>
      </c>
      <c r="H17" s="10">
        <v>3600</v>
      </c>
      <c r="I17" s="10">
        <f t="shared" si="0"/>
        <v>11100</v>
      </c>
    </row>
    <row r="18" spans="1:9" x14ac:dyDescent="0.3">
      <c r="A18" s="10">
        <v>16</v>
      </c>
      <c r="B18" s="83" t="s">
        <v>540</v>
      </c>
      <c r="C18" s="10" t="s">
        <v>521</v>
      </c>
      <c r="D18" s="10" t="s">
        <v>44</v>
      </c>
      <c r="E18" s="10" t="s">
        <v>66</v>
      </c>
      <c r="F18" s="10" t="s">
        <v>63</v>
      </c>
      <c r="G18" s="10">
        <v>3500</v>
      </c>
      <c r="H18" s="10">
        <v>600</v>
      </c>
      <c r="I18" s="10">
        <f t="shared" si="0"/>
        <v>4100</v>
      </c>
    </row>
    <row r="19" spans="1:9" x14ac:dyDescent="0.3">
      <c r="A19" s="10">
        <v>17</v>
      </c>
      <c r="B19" s="83" t="s">
        <v>540</v>
      </c>
      <c r="C19" s="10" t="s">
        <v>44</v>
      </c>
      <c r="D19" s="10" t="s">
        <v>124</v>
      </c>
      <c r="E19" s="10" t="s">
        <v>66</v>
      </c>
      <c r="F19" s="10" t="s">
        <v>63</v>
      </c>
      <c r="G19" s="10">
        <v>3500</v>
      </c>
      <c r="H19" s="10">
        <v>600</v>
      </c>
      <c r="I19" s="10">
        <f t="shared" si="0"/>
        <v>4100</v>
      </c>
    </row>
    <row r="20" spans="1:9" x14ac:dyDescent="0.3">
      <c r="A20" s="10">
        <v>18</v>
      </c>
      <c r="B20" s="83" t="s">
        <v>541</v>
      </c>
      <c r="C20" s="10" t="s">
        <v>86</v>
      </c>
      <c r="D20" s="10" t="s">
        <v>357</v>
      </c>
      <c r="E20" s="10" t="s">
        <v>282</v>
      </c>
      <c r="F20" s="10" t="s">
        <v>47</v>
      </c>
      <c r="G20" s="10">
        <v>7500</v>
      </c>
      <c r="H20" s="10">
        <v>3600</v>
      </c>
      <c r="I20" s="10">
        <f t="shared" si="0"/>
        <v>11100</v>
      </c>
    </row>
    <row r="21" spans="1:9" x14ac:dyDescent="0.3">
      <c r="A21" s="10">
        <v>19</v>
      </c>
      <c r="B21" s="83" t="s">
        <v>541</v>
      </c>
      <c r="C21" s="10" t="s">
        <v>86</v>
      </c>
      <c r="D21" s="10" t="s">
        <v>357</v>
      </c>
      <c r="E21" s="10" t="s">
        <v>92</v>
      </c>
      <c r="F21" s="10" t="s">
        <v>47</v>
      </c>
      <c r="G21" s="10">
        <v>7500</v>
      </c>
      <c r="H21" s="10">
        <v>3600</v>
      </c>
      <c r="I21" s="10">
        <f t="shared" si="0"/>
        <v>11100</v>
      </c>
    </row>
    <row r="22" spans="1:9" x14ac:dyDescent="0.3">
      <c r="A22" s="10">
        <v>20</v>
      </c>
      <c r="B22" s="83" t="s">
        <v>541</v>
      </c>
      <c r="C22" s="10" t="s">
        <v>86</v>
      </c>
      <c r="D22" s="10" t="s">
        <v>357</v>
      </c>
      <c r="E22" s="10" t="s">
        <v>57</v>
      </c>
      <c r="F22" s="10" t="s">
        <v>47</v>
      </c>
      <c r="G22" s="10">
        <v>7500</v>
      </c>
      <c r="H22" s="10">
        <v>3600</v>
      </c>
      <c r="I22" s="10">
        <f t="shared" si="0"/>
        <v>11100</v>
      </c>
    </row>
    <row r="23" spans="1:9" x14ac:dyDescent="0.3">
      <c r="A23" s="10">
        <v>21</v>
      </c>
      <c r="B23" s="83" t="s">
        <v>541</v>
      </c>
      <c r="C23" s="10" t="s">
        <v>357</v>
      </c>
      <c r="D23" s="10" t="s">
        <v>44</v>
      </c>
      <c r="E23" s="10" t="s">
        <v>77</v>
      </c>
      <c r="F23" s="10" t="s">
        <v>47</v>
      </c>
      <c r="G23" s="10">
        <v>7500</v>
      </c>
      <c r="H23" s="10">
        <v>3600</v>
      </c>
      <c r="I23" s="10">
        <f t="shared" si="0"/>
        <v>11100</v>
      </c>
    </row>
    <row r="24" spans="1:9" x14ac:dyDescent="0.3">
      <c r="A24" s="10">
        <v>22</v>
      </c>
      <c r="B24" s="83" t="s">
        <v>541</v>
      </c>
      <c r="C24" s="10" t="s">
        <v>357</v>
      </c>
      <c r="D24" s="10" t="s">
        <v>44</v>
      </c>
      <c r="E24" s="10" t="s">
        <v>57</v>
      </c>
      <c r="F24" s="10" t="s">
        <v>47</v>
      </c>
      <c r="G24" s="10">
        <v>7500</v>
      </c>
      <c r="H24" s="10">
        <v>3600</v>
      </c>
      <c r="I24" s="10">
        <f t="shared" si="0"/>
        <v>11100</v>
      </c>
    </row>
    <row r="25" spans="1:9" x14ac:dyDescent="0.3">
      <c r="A25" s="10">
        <v>23</v>
      </c>
      <c r="B25" s="83" t="s">
        <v>542</v>
      </c>
      <c r="C25" s="10" t="s">
        <v>86</v>
      </c>
      <c r="D25" s="10" t="s">
        <v>357</v>
      </c>
      <c r="E25" s="10" t="s">
        <v>77</v>
      </c>
      <c r="F25" s="10" t="s">
        <v>47</v>
      </c>
      <c r="G25" s="10">
        <v>7500</v>
      </c>
      <c r="H25" s="10">
        <v>3600</v>
      </c>
      <c r="I25" s="10">
        <f t="shared" si="0"/>
        <v>11100</v>
      </c>
    </row>
    <row r="26" spans="1:9" x14ac:dyDescent="0.3">
      <c r="A26" s="10">
        <v>24</v>
      </c>
      <c r="B26" s="83" t="s">
        <v>542</v>
      </c>
      <c r="C26" s="10" t="s">
        <v>86</v>
      </c>
      <c r="D26" s="10" t="s">
        <v>357</v>
      </c>
      <c r="E26" s="10" t="s">
        <v>282</v>
      </c>
      <c r="F26" s="10" t="s">
        <v>47</v>
      </c>
      <c r="G26" s="10">
        <v>7500</v>
      </c>
      <c r="H26" s="10">
        <v>3600</v>
      </c>
      <c r="I26" s="10">
        <f t="shared" si="0"/>
        <v>11100</v>
      </c>
    </row>
    <row r="27" spans="1:9" x14ac:dyDescent="0.3">
      <c r="A27" s="10">
        <v>25</v>
      </c>
      <c r="B27" s="83" t="s">
        <v>543</v>
      </c>
      <c r="C27" s="10" t="s">
        <v>44</v>
      </c>
      <c r="D27" s="10" t="s">
        <v>65</v>
      </c>
      <c r="E27" s="11" t="s">
        <v>66</v>
      </c>
      <c r="F27" s="10" t="s">
        <v>61</v>
      </c>
      <c r="G27" s="10">
        <v>5000</v>
      </c>
      <c r="H27" s="10">
        <v>1200</v>
      </c>
      <c r="I27" s="10">
        <f t="shared" si="0"/>
        <v>6200</v>
      </c>
    </row>
    <row r="28" spans="1:9" x14ac:dyDescent="0.3">
      <c r="A28" s="10">
        <v>26</v>
      </c>
      <c r="B28" s="83" t="s">
        <v>544</v>
      </c>
      <c r="C28" s="10" t="s">
        <v>44</v>
      </c>
      <c r="D28" s="10" t="s">
        <v>65</v>
      </c>
      <c r="E28" s="11" t="s">
        <v>282</v>
      </c>
      <c r="F28" s="10" t="s">
        <v>61</v>
      </c>
      <c r="G28" s="10">
        <v>5000</v>
      </c>
      <c r="H28" s="10">
        <v>1200</v>
      </c>
      <c r="I28" s="10">
        <f t="shared" si="0"/>
        <v>6200</v>
      </c>
    </row>
    <row r="29" spans="1:9" x14ac:dyDescent="0.3">
      <c r="A29" s="10"/>
      <c r="B29" s="85"/>
      <c r="F29" s="84" t="s">
        <v>41</v>
      </c>
      <c r="G29" s="77">
        <f>SUM(G3:G28)</f>
        <v>176400</v>
      </c>
      <c r="H29" s="77">
        <f>SUM(H3:H28)</f>
        <v>79800</v>
      </c>
      <c r="I29" s="77">
        <f>SUM(I3:I28)</f>
        <v>256200</v>
      </c>
    </row>
    <row r="34" spans="1:6" x14ac:dyDescent="0.3">
      <c r="A34" s="8" t="s">
        <v>551</v>
      </c>
    </row>
    <row r="35" spans="1:6" x14ac:dyDescent="0.3">
      <c r="A35" s="80" t="s">
        <v>25</v>
      </c>
      <c r="B35" s="80" t="s">
        <v>26</v>
      </c>
      <c r="C35" s="80" t="s">
        <v>27</v>
      </c>
      <c r="D35" s="80" t="s">
        <v>28</v>
      </c>
      <c r="E35" s="80" t="s">
        <v>30</v>
      </c>
      <c r="F35" s="80" t="s">
        <v>35</v>
      </c>
    </row>
    <row r="36" spans="1:6" x14ac:dyDescent="0.3">
      <c r="A36" s="10">
        <v>1</v>
      </c>
      <c r="B36" s="82" t="s">
        <v>547</v>
      </c>
      <c r="C36" s="10" t="s">
        <v>44</v>
      </c>
      <c r="D36" s="10" t="s">
        <v>357</v>
      </c>
      <c r="E36" s="10" t="s">
        <v>282</v>
      </c>
      <c r="F36" s="10">
        <v>635</v>
      </c>
    </row>
    <row r="37" spans="1:6" x14ac:dyDescent="0.3">
      <c r="A37" s="10">
        <v>2</v>
      </c>
      <c r="B37" s="82" t="s">
        <v>403</v>
      </c>
      <c r="C37" s="10" t="s">
        <v>44</v>
      </c>
      <c r="D37" s="10" t="s">
        <v>124</v>
      </c>
      <c r="E37" s="10" t="s">
        <v>77</v>
      </c>
      <c r="F37" s="10">
        <v>600</v>
      </c>
    </row>
    <row r="38" spans="1:6" x14ac:dyDescent="0.3">
      <c r="A38" s="10">
        <v>3</v>
      </c>
      <c r="B38" s="82" t="s">
        <v>476</v>
      </c>
      <c r="C38" s="10" t="s">
        <v>86</v>
      </c>
      <c r="D38" s="10" t="s">
        <v>357</v>
      </c>
      <c r="E38" s="10" t="s">
        <v>77</v>
      </c>
      <c r="F38" s="10">
        <v>1200</v>
      </c>
    </row>
    <row r="39" spans="1:6" x14ac:dyDescent="0.3">
      <c r="A39" s="10">
        <v>4</v>
      </c>
      <c r="B39" s="82" t="s">
        <v>481</v>
      </c>
      <c r="C39" s="10" t="s">
        <v>86</v>
      </c>
      <c r="D39" s="10" t="s">
        <v>357</v>
      </c>
      <c r="E39" s="10" t="s">
        <v>77</v>
      </c>
      <c r="F39" s="10">
        <v>600</v>
      </c>
    </row>
    <row r="40" spans="1:6" x14ac:dyDescent="0.3">
      <c r="A40" s="10">
        <v>5</v>
      </c>
      <c r="B40" s="82" t="s">
        <v>497</v>
      </c>
      <c r="C40" s="10" t="s">
        <v>86</v>
      </c>
      <c r="D40" s="10" t="s">
        <v>357</v>
      </c>
      <c r="E40" s="10" t="s">
        <v>282</v>
      </c>
      <c r="F40" s="10">
        <v>635</v>
      </c>
    </row>
    <row r="41" spans="1:6" x14ac:dyDescent="0.3">
      <c r="A41" s="10">
        <v>6</v>
      </c>
      <c r="B41" s="82" t="s">
        <v>513</v>
      </c>
      <c r="C41" s="10" t="s">
        <v>86</v>
      </c>
      <c r="D41" s="10" t="s">
        <v>357</v>
      </c>
      <c r="E41" s="10" t="s">
        <v>57</v>
      </c>
      <c r="F41" s="10">
        <v>600</v>
      </c>
    </row>
    <row r="42" spans="1:6" x14ac:dyDescent="0.3">
      <c r="A42" s="10">
        <v>7</v>
      </c>
      <c r="B42" s="82" t="s">
        <v>525</v>
      </c>
      <c r="C42" s="10" t="s">
        <v>86</v>
      </c>
      <c r="D42" s="10" t="s">
        <v>357</v>
      </c>
      <c r="E42" s="10" t="s">
        <v>77</v>
      </c>
      <c r="F42" s="10">
        <v>600</v>
      </c>
    </row>
    <row r="43" spans="1:6" x14ac:dyDescent="0.3">
      <c r="A43" s="10">
        <v>8</v>
      </c>
      <c r="B43" s="82" t="s">
        <v>529</v>
      </c>
      <c r="C43" s="10" t="s">
        <v>86</v>
      </c>
      <c r="D43" s="10" t="s">
        <v>357</v>
      </c>
      <c r="E43" s="10" t="s">
        <v>77</v>
      </c>
      <c r="F43" s="10">
        <v>600</v>
      </c>
    </row>
    <row r="44" spans="1:6" x14ac:dyDescent="0.3">
      <c r="A44" s="10">
        <v>9</v>
      </c>
      <c r="B44" s="82" t="s">
        <v>537</v>
      </c>
      <c r="C44" s="10" t="s">
        <v>86</v>
      </c>
      <c r="D44" s="10" t="s">
        <v>357</v>
      </c>
      <c r="E44" s="10" t="s">
        <v>282</v>
      </c>
      <c r="F44" s="10">
        <v>700</v>
      </c>
    </row>
    <row r="45" spans="1:6" x14ac:dyDescent="0.3">
      <c r="B45" s="82"/>
      <c r="F45" s="77">
        <f>SUM(F36:F44)</f>
        <v>6170</v>
      </c>
    </row>
    <row r="50" spans="1:9" ht="18" x14ac:dyDescent="0.35">
      <c r="A50" s="86" t="s">
        <v>552</v>
      </c>
    </row>
    <row r="54" spans="1:9" x14ac:dyDescent="0.3">
      <c r="A54" s="8" t="s">
        <v>562</v>
      </c>
    </row>
    <row r="55" spans="1:9" ht="28.8" x14ac:dyDescent="0.3">
      <c r="A55" s="80" t="s">
        <v>25</v>
      </c>
      <c r="B55" s="80" t="s">
        <v>26</v>
      </c>
      <c r="C55" s="80" t="s">
        <v>27</v>
      </c>
      <c r="D55" s="80" t="s">
        <v>28</v>
      </c>
      <c r="E55" s="80" t="s">
        <v>30</v>
      </c>
      <c r="F55" s="81" t="s">
        <v>34</v>
      </c>
      <c r="G55" s="80" t="s">
        <v>35</v>
      </c>
      <c r="H55" s="80" t="s">
        <v>36</v>
      </c>
      <c r="I55" s="81" t="s">
        <v>37</v>
      </c>
    </row>
    <row r="56" spans="1:9" x14ac:dyDescent="0.3">
      <c r="A56" s="10">
        <v>1</v>
      </c>
      <c r="B56" s="10" t="s">
        <v>553</v>
      </c>
      <c r="C56" s="10" t="s">
        <v>357</v>
      </c>
      <c r="D56" s="10" t="s">
        <v>44</v>
      </c>
      <c r="E56" s="10" t="s">
        <v>282</v>
      </c>
      <c r="F56" s="10">
        <v>6</v>
      </c>
      <c r="G56" s="10">
        <v>7500</v>
      </c>
      <c r="H56" s="10">
        <v>3600</v>
      </c>
      <c r="I56" s="10">
        <f>SUM(G56:H56)</f>
        <v>11100</v>
      </c>
    </row>
    <row r="57" spans="1:9" x14ac:dyDescent="0.3">
      <c r="A57" s="10">
        <v>2</v>
      </c>
      <c r="B57" s="10" t="s">
        <v>553</v>
      </c>
      <c r="C57" s="10" t="s">
        <v>44</v>
      </c>
      <c r="D57" s="10" t="s">
        <v>124</v>
      </c>
      <c r="E57" s="10" t="s">
        <v>60</v>
      </c>
      <c r="F57" s="10">
        <v>2</v>
      </c>
      <c r="G57" s="10">
        <v>4900</v>
      </c>
      <c r="H57" s="10">
        <v>1200</v>
      </c>
      <c r="I57" s="10">
        <f t="shared" ref="I57:I87" si="1">SUM(G57:H57)</f>
        <v>6100</v>
      </c>
    </row>
    <row r="58" spans="1:9" x14ac:dyDescent="0.3">
      <c r="A58" s="10">
        <v>3</v>
      </c>
      <c r="B58" s="10" t="s">
        <v>554</v>
      </c>
      <c r="C58" s="10" t="s">
        <v>71</v>
      </c>
      <c r="D58" s="10" t="s">
        <v>44</v>
      </c>
      <c r="E58" s="10" t="s">
        <v>57</v>
      </c>
      <c r="F58" s="10">
        <v>6</v>
      </c>
      <c r="G58" s="10">
        <v>7500</v>
      </c>
      <c r="H58" s="10">
        <v>3600</v>
      </c>
      <c r="I58" s="10">
        <f t="shared" si="1"/>
        <v>11100</v>
      </c>
    </row>
    <row r="59" spans="1:9" x14ac:dyDescent="0.3">
      <c r="A59" s="10">
        <v>4</v>
      </c>
      <c r="B59" s="10" t="s">
        <v>554</v>
      </c>
      <c r="C59" s="10" t="s">
        <v>71</v>
      </c>
      <c r="D59" s="10" t="s">
        <v>44</v>
      </c>
      <c r="E59" s="10" t="s">
        <v>282</v>
      </c>
      <c r="F59" s="10">
        <v>6</v>
      </c>
      <c r="G59" s="10">
        <v>7500</v>
      </c>
      <c r="H59" s="10">
        <v>3600</v>
      </c>
      <c r="I59" s="10">
        <f t="shared" si="1"/>
        <v>11100</v>
      </c>
    </row>
    <row r="60" spans="1:9" x14ac:dyDescent="0.3">
      <c r="A60" s="10">
        <v>5</v>
      </c>
      <c r="B60" s="10" t="s">
        <v>554</v>
      </c>
      <c r="C60" s="10" t="s">
        <v>44</v>
      </c>
      <c r="D60" s="10" t="s">
        <v>124</v>
      </c>
      <c r="E60" s="10" t="s">
        <v>92</v>
      </c>
      <c r="F60" s="10">
        <v>6</v>
      </c>
      <c r="G60" s="10">
        <v>5900</v>
      </c>
      <c r="H60" s="10">
        <v>3600</v>
      </c>
      <c r="I60" s="10">
        <f t="shared" si="1"/>
        <v>9500</v>
      </c>
    </row>
    <row r="61" spans="1:9" x14ac:dyDescent="0.3">
      <c r="A61" s="10">
        <v>6</v>
      </c>
      <c r="B61" s="10" t="s">
        <v>554</v>
      </c>
      <c r="C61" s="10" t="s">
        <v>44</v>
      </c>
      <c r="D61" s="10" t="s">
        <v>124</v>
      </c>
      <c r="E61" s="10" t="s">
        <v>77</v>
      </c>
      <c r="F61" s="10">
        <v>6</v>
      </c>
      <c r="G61" s="10">
        <v>5900</v>
      </c>
      <c r="H61" s="10">
        <v>3600</v>
      </c>
      <c r="I61" s="10">
        <f t="shared" si="1"/>
        <v>9500</v>
      </c>
    </row>
    <row r="62" spans="1:9" x14ac:dyDescent="0.3">
      <c r="A62" s="10">
        <v>7</v>
      </c>
      <c r="B62" s="10" t="s">
        <v>554</v>
      </c>
      <c r="C62" s="10" t="s">
        <v>44</v>
      </c>
      <c r="D62" s="10" t="s">
        <v>124</v>
      </c>
      <c r="E62" s="10" t="s">
        <v>125</v>
      </c>
      <c r="F62" s="10">
        <v>6</v>
      </c>
      <c r="G62" s="10">
        <v>5900</v>
      </c>
      <c r="H62" s="10">
        <v>3600</v>
      </c>
      <c r="I62" s="10">
        <f t="shared" si="1"/>
        <v>9500</v>
      </c>
    </row>
    <row r="63" spans="1:9" x14ac:dyDescent="0.3">
      <c r="A63" s="10">
        <v>8</v>
      </c>
      <c r="B63" s="10" t="s">
        <v>555</v>
      </c>
      <c r="C63" s="10" t="s">
        <v>65</v>
      </c>
      <c r="D63" s="10" t="s">
        <v>124</v>
      </c>
      <c r="E63" s="10" t="s">
        <v>77</v>
      </c>
      <c r="F63" s="10">
        <v>6</v>
      </c>
      <c r="G63" s="10">
        <v>6000</v>
      </c>
      <c r="H63" s="10">
        <v>3600</v>
      </c>
      <c r="I63" s="10">
        <f t="shared" si="1"/>
        <v>9600</v>
      </c>
    </row>
    <row r="64" spans="1:9" x14ac:dyDescent="0.3">
      <c r="A64" s="10">
        <v>9</v>
      </c>
      <c r="B64" s="10" t="s">
        <v>555</v>
      </c>
      <c r="C64" s="10" t="s">
        <v>65</v>
      </c>
      <c r="D64" s="10" t="s">
        <v>44</v>
      </c>
      <c r="E64" s="10" t="s">
        <v>60</v>
      </c>
      <c r="F64" s="10">
        <v>1</v>
      </c>
      <c r="G64" s="10">
        <v>4200</v>
      </c>
      <c r="H64" s="10">
        <v>600</v>
      </c>
      <c r="I64" s="10">
        <f t="shared" si="1"/>
        <v>4800</v>
      </c>
    </row>
    <row r="65" spans="1:9" x14ac:dyDescent="0.3">
      <c r="A65" s="10">
        <v>10</v>
      </c>
      <c r="B65" s="10" t="s">
        <v>555</v>
      </c>
      <c r="C65" s="10" t="s">
        <v>44</v>
      </c>
      <c r="D65" s="10" t="s">
        <v>65</v>
      </c>
      <c r="E65" s="10" t="s">
        <v>60</v>
      </c>
      <c r="F65" s="10">
        <v>1</v>
      </c>
      <c r="G65" s="10">
        <v>3500</v>
      </c>
      <c r="H65" s="10">
        <v>600</v>
      </c>
      <c r="I65" s="10">
        <f t="shared" si="1"/>
        <v>4100</v>
      </c>
    </row>
    <row r="66" spans="1:9" x14ac:dyDescent="0.3">
      <c r="A66" s="10">
        <v>11</v>
      </c>
      <c r="B66" s="10" t="s">
        <v>555</v>
      </c>
      <c r="C66" s="10" t="s">
        <v>86</v>
      </c>
      <c r="D66" s="10" t="s">
        <v>357</v>
      </c>
      <c r="E66" s="10" t="s">
        <v>92</v>
      </c>
      <c r="F66" s="10">
        <v>6</v>
      </c>
      <c r="G66" s="10">
        <v>7500</v>
      </c>
      <c r="H66" s="10">
        <v>3600</v>
      </c>
      <c r="I66" s="10">
        <f t="shared" si="1"/>
        <v>11100</v>
      </c>
    </row>
    <row r="67" spans="1:9" x14ac:dyDescent="0.3">
      <c r="A67" s="10">
        <v>12</v>
      </c>
      <c r="B67" s="10" t="s">
        <v>555</v>
      </c>
      <c r="C67" s="10" t="s">
        <v>86</v>
      </c>
      <c r="D67" s="10" t="s">
        <v>357</v>
      </c>
      <c r="E67" s="10" t="s">
        <v>57</v>
      </c>
      <c r="F67" s="10">
        <v>6</v>
      </c>
      <c r="G67" s="10">
        <v>7500</v>
      </c>
      <c r="H67" s="10">
        <v>3600</v>
      </c>
      <c r="I67" s="10">
        <f t="shared" si="1"/>
        <v>11100</v>
      </c>
    </row>
    <row r="68" spans="1:9" x14ac:dyDescent="0.3">
      <c r="A68" s="10">
        <v>13</v>
      </c>
      <c r="B68" s="10" t="s">
        <v>555</v>
      </c>
      <c r="C68" s="10" t="s">
        <v>86</v>
      </c>
      <c r="D68" s="10" t="s">
        <v>357</v>
      </c>
      <c r="E68" s="10" t="s">
        <v>282</v>
      </c>
      <c r="F68" s="10">
        <v>6</v>
      </c>
      <c r="G68" s="10">
        <v>7500</v>
      </c>
      <c r="H68" s="10">
        <v>3600</v>
      </c>
      <c r="I68" s="10">
        <f t="shared" si="1"/>
        <v>11100</v>
      </c>
    </row>
    <row r="69" spans="1:9" x14ac:dyDescent="0.3">
      <c r="A69" s="10">
        <v>14</v>
      </c>
      <c r="B69" s="10" t="s">
        <v>555</v>
      </c>
      <c r="C69" s="10" t="s">
        <v>357</v>
      </c>
      <c r="D69" s="10" t="s">
        <v>44</v>
      </c>
      <c r="E69" s="10" t="s">
        <v>57</v>
      </c>
      <c r="F69" s="10">
        <v>6</v>
      </c>
      <c r="G69" s="10">
        <v>7500</v>
      </c>
      <c r="H69" s="10">
        <v>3600</v>
      </c>
      <c r="I69" s="10">
        <f t="shared" si="1"/>
        <v>11100</v>
      </c>
    </row>
    <row r="70" spans="1:9" x14ac:dyDescent="0.3">
      <c r="A70" s="10">
        <v>15</v>
      </c>
      <c r="B70" s="10" t="s">
        <v>555</v>
      </c>
      <c r="C70" s="10" t="s">
        <v>71</v>
      </c>
      <c r="D70" s="10" t="s">
        <v>44</v>
      </c>
      <c r="E70" s="10" t="s">
        <v>125</v>
      </c>
      <c r="F70" s="10">
        <v>6</v>
      </c>
      <c r="G70" s="10">
        <v>7500</v>
      </c>
      <c r="H70" s="10">
        <v>3600</v>
      </c>
      <c r="I70" s="10">
        <f t="shared" si="1"/>
        <v>11100</v>
      </c>
    </row>
    <row r="71" spans="1:9" x14ac:dyDescent="0.3">
      <c r="A71" s="10">
        <v>16</v>
      </c>
      <c r="B71" s="10" t="s">
        <v>555</v>
      </c>
      <c r="C71" s="10" t="s">
        <v>44</v>
      </c>
      <c r="D71" s="10" t="s">
        <v>65</v>
      </c>
      <c r="E71" s="10" t="s">
        <v>77</v>
      </c>
      <c r="F71" s="10">
        <v>6</v>
      </c>
      <c r="G71" s="10">
        <v>6200</v>
      </c>
      <c r="H71" s="10">
        <v>3600</v>
      </c>
      <c r="I71" s="10">
        <f t="shared" si="1"/>
        <v>9800</v>
      </c>
    </row>
    <row r="72" spans="1:9" x14ac:dyDescent="0.3">
      <c r="A72" s="10">
        <v>17</v>
      </c>
      <c r="B72" s="10" t="s">
        <v>556</v>
      </c>
      <c r="C72" s="10" t="s">
        <v>44</v>
      </c>
      <c r="D72" s="10" t="s">
        <v>518</v>
      </c>
      <c r="E72" s="10" t="s">
        <v>94</v>
      </c>
      <c r="F72" s="10">
        <v>1</v>
      </c>
      <c r="G72" s="10">
        <v>5500</v>
      </c>
      <c r="H72" s="10">
        <v>600</v>
      </c>
      <c r="I72" s="10">
        <f t="shared" si="1"/>
        <v>6100</v>
      </c>
    </row>
    <row r="73" spans="1:9" x14ac:dyDescent="0.3">
      <c r="A73" s="10">
        <v>18</v>
      </c>
      <c r="B73" s="10" t="s">
        <v>556</v>
      </c>
      <c r="C73" s="10" t="s">
        <v>86</v>
      </c>
      <c r="D73" s="10" t="s">
        <v>357</v>
      </c>
      <c r="E73" s="10" t="s">
        <v>236</v>
      </c>
      <c r="F73" s="10">
        <v>6</v>
      </c>
      <c r="G73" s="10">
        <v>7500</v>
      </c>
      <c r="H73" s="10">
        <v>3600</v>
      </c>
      <c r="I73" s="10">
        <f t="shared" si="1"/>
        <v>11100</v>
      </c>
    </row>
    <row r="74" spans="1:9" x14ac:dyDescent="0.3">
      <c r="A74" s="10">
        <v>19</v>
      </c>
      <c r="B74" s="10" t="s">
        <v>556</v>
      </c>
      <c r="C74" s="10" t="s">
        <v>86</v>
      </c>
      <c r="D74" s="10" t="s">
        <v>357</v>
      </c>
      <c r="E74" s="10" t="s">
        <v>92</v>
      </c>
      <c r="F74" s="10">
        <v>6</v>
      </c>
      <c r="G74" s="10">
        <v>7500</v>
      </c>
      <c r="H74" s="10">
        <v>3600</v>
      </c>
      <c r="I74" s="10">
        <f t="shared" si="1"/>
        <v>11100</v>
      </c>
    </row>
    <row r="75" spans="1:9" x14ac:dyDescent="0.3">
      <c r="A75" s="10">
        <v>20</v>
      </c>
      <c r="B75" s="10" t="s">
        <v>556</v>
      </c>
      <c r="C75" s="10" t="s">
        <v>86</v>
      </c>
      <c r="D75" s="10" t="s">
        <v>357</v>
      </c>
      <c r="E75" s="10" t="s">
        <v>282</v>
      </c>
      <c r="F75" s="10">
        <v>6</v>
      </c>
      <c r="G75" s="10">
        <v>7500</v>
      </c>
      <c r="H75" s="10">
        <v>3600</v>
      </c>
      <c r="I75" s="10">
        <f t="shared" si="1"/>
        <v>11100</v>
      </c>
    </row>
    <row r="76" spans="1:9" x14ac:dyDescent="0.3">
      <c r="A76" s="10">
        <v>21</v>
      </c>
      <c r="B76" s="10" t="s">
        <v>556</v>
      </c>
      <c r="C76" s="10" t="s">
        <v>44</v>
      </c>
      <c r="D76" s="10" t="s">
        <v>124</v>
      </c>
      <c r="E76" s="10" t="s">
        <v>125</v>
      </c>
      <c r="F76" s="10">
        <v>6</v>
      </c>
      <c r="G76" s="10">
        <v>5900</v>
      </c>
      <c r="H76" s="10">
        <v>3600</v>
      </c>
      <c r="I76" s="10">
        <f t="shared" si="1"/>
        <v>9500</v>
      </c>
    </row>
    <row r="77" spans="1:9" x14ac:dyDescent="0.3">
      <c r="A77" s="10">
        <v>22</v>
      </c>
      <c r="B77" s="10" t="s">
        <v>556</v>
      </c>
      <c r="C77" s="10" t="s">
        <v>44</v>
      </c>
      <c r="D77" s="10" t="s">
        <v>124</v>
      </c>
      <c r="E77" s="10" t="s">
        <v>77</v>
      </c>
      <c r="F77" s="10">
        <v>6</v>
      </c>
      <c r="G77" s="10">
        <v>5900</v>
      </c>
      <c r="H77" s="10">
        <v>3600</v>
      </c>
      <c r="I77" s="10">
        <f t="shared" si="1"/>
        <v>9500</v>
      </c>
    </row>
    <row r="78" spans="1:9" x14ac:dyDescent="0.3">
      <c r="A78" s="10">
        <v>23</v>
      </c>
      <c r="B78" s="10" t="s">
        <v>557</v>
      </c>
      <c r="C78" s="10" t="s">
        <v>86</v>
      </c>
      <c r="D78" s="10" t="s">
        <v>357</v>
      </c>
      <c r="E78" s="10" t="s">
        <v>77</v>
      </c>
      <c r="F78" s="10">
        <v>6</v>
      </c>
      <c r="G78" s="10">
        <v>7500</v>
      </c>
      <c r="H78" s="10">
        <v>3600</v>
      </c>
      <c r="I78" s="10">
        <f t="shared" si="1"/>
        <v>11100</v>
      </c>
    </row>
    <row r="79" spans="1:9" x14ac:dyDescent="0.3">
      <c r="A79" s="10">
        <v>24</v>
      </c>
      <c r="B79" s="10" t="s">
        <v>557</v>
      </c>
      <c r="C79" s="10" t="s">
        <v>86</v>
      </c>
      <c r="D79" s="10" t="s">
        <v>357</v>
      </c>
      <c r="E79" s="10" t="s">
        <v>282</v>
      </c>
      <c r="F79" s="10">
        <v>6</v>
      </c>
      <c r="G79" s="10">
        <v>7500</v>
      </c>
      <c r="H79" s="10">
        <v>3600</v>
      </c>
      <c r="I79" s="10">
        <f t="shared" si="1"/>
        <v>11100</v>
      </c>
    </row>
    <row r="80" spans="1:9" x14ac:dyDescent="0.3">
      <c r="A80" s="10">
        <v>25</v>
      </c>
      <c r="B80" s="10" t="s">
        <v>557</v>
      </c>
      <c r="C80" s="10" t="s">
        <v>86</v>
      </c>
      <c r="D80" s="10" t="s">
        <v>357</v>
      </c>
      <c r="E80" s="10" t="s">
        <v>57</v>
      </c>
      <c r="F80" s="10">
        <v>6</v>
      </c>
      <c r="G80" s="10">
        <v>7500</v>
      </c>
      <c r="H80" s="10">
        <v>3600</v>
      </c>
      <c r="I80" s="10">
        <f t="shared" si="1"/>
        <v>11100</v>
      </c>
    </row>
    <row r="81" spans="1:9" x14ac:dyDescent="0.3">
      <c r="A81" s="10">
        <v>26</v>
      </c>
      <c r="B81" s="10" t="s">
        <v>558</v>
      </c>
      <c r="C81" s="10" t="s">
        <v>344</v>
      </c>
      <c r="D81" s="10" t="s">
        <v>44</v>
      </c>
      <c r="E81" s="10" t="s">
        <v>77</v>
      </c>
      <c r="F81" s="10">
        <v>6</v>
      </c>
      <c r="G81" s="10">
        <v>5800</v>
      </c>
      <c r="H81" s="10">
        <v>3600</v>
      </c>
      <c r="I81" s="10">
        <f t="shared" si="1"/>
        <v>9400</v>
      </c>
    </row>
    <row r="82" spans="1:9" x14ac:dyDescent="0.3">
      <c r="A82" s="10">
        <v>27</v>
      </c>
      <c r="B82" s="10" t="s">
        <v>558</v>
      </c>
      <c r="C82" s="10" t="s">
        <v>344</v>
      </c>
      <c r="D82" s="10" t="s">
        <v>44</v>
      </c>
      <c r="E82" s="10" t="s">
        <v>77</v>
      </c>
      <c r="F82" s="10"/>
      <c r="G82" s="10"/>
      <c r="H82" s="10">
        <v>635</v>
      </c>
      <c r="I82" s="10">
        <v>635</v>
      </c>
    </row>
    <row r="83" spans="1:9" x14ac:dyDescent="0.3">
      <c r="A83" s="10">
        <v>27</v>
      </c>
      <c r="B83" s="10" t="s">
        <v>559</v>
      </c>
      <c r="C83" s="10" t="s">
        <v>344</v>
      </c>
      <c r="D83" s="10" t="s">
        <v>44</v>
      </c>
      <c r="E83" s="10" t="s">
        <v>57</v>
      </c>
      <c r="F83" s="10">
        <v>6</v>
      </c>
      <c r="G83" s="10">
        <v>5800</v>
      </c>
      <c r="H83" s="10">
        <v>3600</v>
      </c>
      <c r="I83" s="10">
        <f t="shared" si="1"/>
        <v>9400</v>
      </c>
    </row>
    <row r="84" spans="1:9" x14ac:dyDescent="0.3">
      <c r="A84" s="10">
        <v>28</v>
      </c>
      <c r="B84" s="10" t="s">
        <v>560</v>
      </c>
      <c r="C84" s="10" t="s">
        <v>44</v>
      </c>
      <c r="D84" s="10" t="s">
        <v>124</v>
      </c>
      <c r="E84" s="10" t="s">
        <v>57</v>
      </c>
      <c r="F84" s="10">
        <v>6</v>
      </c>
      <c r="G84" s="10">
        <v>5900</v>
      </c>
      <c r="H84" s="10">
        <v>3600</v>
      </c>
      <c r="I84" s="10">
        <f t="shared" si="1"/>
        <v>9500</v>
      </c>
    </row>
    <row r="85" spans="1:9" x14ac:dyDescent="0.3">
      <c r="A85" s="10">
        <v>29</v>
      </c>
      <c r="B85" s="10" t="s">
        <v>560</v>
      </c>
      <c r="C85" s="10" t="s">
        <v>357</v>
      </c>
      <c r="D85" s="10" t="s">
        <v>44</v>
      </c>
      <c r="E85" s="10" t="s">
        <v>57</v>
      </c>
      <c r="F85" s="10">
        <v>6</v>
      </c>
      <c r="G85" s="10">
        <v>7500</v>
      </c>
      <c r="H85" s="10">
        <v>3600</v>
      </c>
      <c r="I85" s="10">
        <f t="shared" si="1"/>
        <v>11100</v>
      </c>
    </row>
    <row r="86" spans="1:9" x14ac:dyDescent="0.3">
      <c r="A86" s="10">
        <v>30</v>
      </c>
      <c r="B86" s="10" t="s">
        <v>560</v>
      </c>
      <c r="C86" s="10" t="s">
        <v>357</v>
      </c>
      <c r="D86" s="10" t="s">
        <v>44</v>
      </c>
      <c r="E86" s="10" t="s">
        <v>282</v>
      </c>
      <c r="F86" s="10">
        <v>6</v>
      </c>
      <c r="G86" s="10">
        <v>7500</v>
      </c>
      <c r="H86" s="10">
        <v>3600</v>
      </c>
      <c r="I86" s="10">
        <f t="shared" si="1"/>
        <v>11100</v>
      </c>
    </row>
    <row r="87" spans="1:9" x14ac:dyDescent="0.3">
      <c r="A87" s="10">
        <v>31</v>
      </c>
      <c r="B87" s="10" t="s">
        <v>560</v>
      </c>
      <c r="C87" s="10" t="s">
        <v>357</v>
      </c>
      <c r="D87" s="10" t="s">
        <v>44</v>
      </c>
      <c r="E87" s="10" t="s">
        <v>77</v>
      </c>
      <c r="F87" s="10">
        <v>6</v>
      </c>
      <c r="G87" s="10">
        <v>7500</v>
      </c>
      <c r="H87" s="10">
        <v>3600</v>
      </c>
      <c r="I87" s="10">
        <f t="shared" si="1"/>
        <v>11100</v>
      </c>
    </row>
    <row r="88" spans="1:9" x14ac:dyDescent="0.3">
      <c r="B88" t="s">
        <v>561</v>
      </c>
      <c r="C88" t="s">
        <v>561</v>
      </c>
      <c r="D88" t="s">
        <v>561</v>
      </c>
      <c r="E88" t="s">
        <v>561</v>
      </c>
      <c r="F88" s="84" t="s">
        <v>41</v>
      </c>
      <c r="G88" s="10">
        <f>SUM(G56:G87)</f>
        <v>204800</v>
      </c>
      <c r="H88" s="10">
        <f>SUM(H56:H87)</f>
        <v>100835</v>
      </c>
      <c r="I88" s="10">
        <f xml:space="preserve"> SUM(I56:I87)</f>
        <v>305635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A4B0-FDCE-48F0-AB3F-A0D26DEC7B74}">
  <dimension ref="A1:I32"/>
  <sheetViews>
    <sheetView zoomScale="67" workbookViewId="0">
      <selection activeCell="I32" sqref="I32"/>
    </sheetView>
  </sheetViews>
  <sheetFormatPr defaultRowHeight="14.4" x14ac:dyDescent="0.3"/>
  <cols>
    <col min="2" max="2" width="19.33203125" customWidth="1"/>
    <col min="3" max="3" width="29.88671875" customWidth="1"/>
    <col min="4" max="4" width="25.5546875" customWidth="1"/>
    <col min="5" max="5" width="17" customWidth="1"/>
    <col min="6" max="6" width="23.109375" customWidth="1"/>
    <col min="7" max="7" width="14.44140625" customWidth="1"/>
    <col min="8" max="8" width="13.6640625" customWidth="1"/>
    <col min="9" max="9" width="17.109375" customWidth="1"/>
  </cols>
  <sheetData>
    <row r="1" spans="1:9" x14ac:dyDescent="0.3">
      <c r="A1" t="s">
        <v>611</v>
      </c>
    </row>
    <row r="2" spans="1:9" ht="15.6" x14ac:dyDescent="0.3">
      <c r="A2" s="88" t="s">
        <v>25</v>
      </c>
      <c r="B2" s="88" t="s">
        <v>26</v>
      </c>
      <c r="C2" s="88" t="s">
        <v>27</v>
      </c>
      <c r="D2" s="88" t="s">
        <v>171</v>
      </c>
      <c r="E2" s="88" t="s">
        <v>30</v>
      </c>
      <c r="F2" s="88" t="s">
        <v>566</v>
      </c>
      <c r="G2" s="88" t="s">
        <v>35</v>
      </c>
      <c r="H2" s="88" t="s">
        <v>36</v>
      </c>
      <c r="I2" s="88" t="s">
        <v>567</v>
      </c>
    </row>
    <row r="3" spans="1:9" ht="15.6" x14ac:dyDescent="0.3">
      <c r="A3" s="88">
        <v>1</v>
      </c>
      <c r="B3" s="88" t="s">
        <v>568</v>
      </c>
      <c r="C3" s="88" t="s">
        <v>44</v>
      </c>
      <c r="D3" s="88" t="s">
        <v>124</v>
      </c>
      <c r="E3" s="88" t="s">
        <v>77</v>
      </c>
      <c r="F3" s="88">
        <v>6</v>
      </c>
      <c r="G3" s="88">
        <v>5900</v>
      </c>
      <c r="H3" s="88">
        <v>3600</v>
      </c>
      <c r="I3" s="88">
        <v>9500</v>
      </c>
    </row>
    <row r="4" spans="1:9" ht="15.6" x14ac:dyDescent="0.3">
      <c r="A4" s="88">
        <v>2</v>
      </c>
      <c r="B4" s="88" t="s">
        <v>569</v>
      </c>
      <c r="C4" s="88" t="s">
        <v>44</v>
      </c>
      <c r="D4" s="88" t="s">
        <v>124</v>
      </c>
      <c r="E4" s="88" t="s">
        <v>57</v>
      </c>
      <c r="F4" s="88">
        <v>6</v>
      </c>
      <c r="G4" s="88">
        <v>5900</v>
      </c>
      <c r="H4" s="88">
        <v>3600</v>
      </c>
      <c r="I4" s="88">
        <v>9500</v>
      </c>
    </row>
    <row r="5" spans="1:9" ht="15.6" x14ac:dyDescent="0.3">
      <c r="A5" s="88">
        <v>3</v>
      </c>
      <c r="B5" s="88" t="s">
        <v>570</v>
      </c>
      <c r="C5" s="88" t="s">
        <v>357</v>
      </c>
      <c r="D5" s="88" t="s">
        <v>44</v>
      </c>
      <c r="E5" s="88" t="s">
        <v>60</v>
      </c>
      <c r="F5" s="88">
        <v>1</v>
      </c>
      <c r="G5" s="88">
        <v>3500</v>
      </c>
      <c r="H5" s="88">
        <v>600</v>
      </c>
      <c r="I5" s="88">
        <v>4100</v>
      </c>
    </row>
    <row r="6" spans="1:9" ht="15.6" x14ac:dyDescent="0.3">
      <c r="A6" s="88">
        <v>4</v>
      </c>
      <c r="B6" s="88" t="s">
        <v>571</v>
      </c>
      <c r="C6" s="88" t="s">
        <v>44</v>
      </c>
      <c r="D6" s="88" t="s">
        <v>65</v>
      </c>
      <c r="E6" s="88" t="s">
        <v>60</v>
      </c>
      <c r="F6" s="88">
        <v>1</v>
      </c>
      <c r="G6" s="88">
        <v>3500</v>
      </c>
      <c r="H6" s="88">
        <v>600</v>
      </c>
      <c r="I6" s="88">
        <v>4100</v>
      </c>
    </row>
    <row r="7" spans="1:9" ht="15.6" x14ac:dyDescent="0.3">
      <c r="A7" s="88">
        <v>5</v>
      </c>
      <c r="B7" s="88" t="s">
        <v>572</v>
      </c>
      <c r="C7" s="88" t="s">
        <v>44</v>
      </c>
      <c r="D7" s="88" t="s">
        <v>124</v>
      </c>
      <c r="E7" s="88" t="s">
        <v>94</v>
      </c>
      <c r="F7" s="88">
        <v>1</v>
      </c>
      <c r="G7" s="88">
        <v>3500</v>
      </c>
      <c r="H7" s="88">
        <v>600</v>
      </c>
      <c r="I7" s="88">
        <v>4100</v>
      </c>
    </row>
    <row r="8" spans="1:9" ht="15.6" x14ac:dyDescent="0.3">
      <c r="A8" s="88">
        <v>6</v>
      </c>
      <c r="B8" s="88" t="s">
        <v>573</v>
      </c>
      <c r="C8" s="88" t="s">
        <v>574</v>
      </c>
      <c r="D8" s="88" t="s">
        <v>44</v>
      </c>
      <c r="E8" s="88" t="s">
        <v>60</v>
      </c>
      <c r="F8" s="88">
        <v>2</v>
      </c>
      <c r="G8" s="88">
        <v>4900</v>
      </c>
      <c r="H8" s="88">
        <v>1200</v>
      </c>
      <c r="I8" s="88">
        <v>6100</v>
      </c>
    </row>
    <row r="9" spans="1:9" ht="15.6" x14ac:dyDescent="0.3">
      <c r="A9" s="88">
        <v>7</v>
      </c>
      <c r="B9" s="88" t="s">
        <v>575</v>
      </c>
      <c r="C9" s="88" t="s">
        <v>574</v>
      </c>
      <c r="D9" s="88" t="s">
        <v>44</v>
      </c>
      <c r="E9" s="88" t="s">
        <v>60</v>
      </c>
      <c r="F9" s="88">
        <v>2</v>
      </c>
      <c r="G9" s="88">
        <v>4900</v>
      </c>
      <c r="H9" s="88">
        <v>1200</v>
      </c>
      <c r="I9" s="88">
        <v>6100</v>
      </c>
    </row>
    <row r="10" spans="1:9" ht="15.6" x14ac:dyDescent="0.3">
      <c r="A10" s="88">
        <v>8</v>
      </c>
      <c r="B10" s="88" t="s">
        <v>575</v>
      </c>
      <c r="C10" s="88" t="s">
        <v>576</v>
      </c>
      <c r="D10" s="88" t="s">
        <v>44</v>
      </c>
      <c r="E10" s="88" t="s">
        <v>94</v>
      </c>
      <c r="F10" s="88">
        <v>1</v>
      </c>
      <c r="G10" s="88">
        <v>3500</v>
      </c>
      <c r="H10" s="88">
        <v>600</v>
      </c>
      <c r="I10" s="88">
        <v>4100</v>
      </c>
    </row>
    <row r="11" spans="1:9" ht="15.6" x14ac:dyDescent="0.3">
      <c r="A11" s="88">
        <v>9</v>
      </c>
      <c r="B11" s="88" t="s">
        <v>575</v>
      </c>
      <c r="C11" s="88" t="s">
        <v>344</v>
      </c>
      <c r="D11" s="88" t="s">
        <v>44</v>
      </c>
      <c r="E11" s="88" t="s">
        <v>57</v>
      </c>
      <c r="F11" s="88">
        <v>6</v>
      </c>
      <c r="G11" s="88">
        <v>5800</v>
      </c>
      <c r="H11" s="88">
        <v>3600</v>
      </c>
      <c r="I11" s="88">
        <v>9400</v>
      </c>
    </row>
    <row r="12" spans="1:9" ht="15.6" x14ac:dyDescent="0.3">
      <c r="A12" s="88">
        <v>10</v>
      </c>
      <c r="B12" s="88" t="s">
        <v>575</v>
      </c>
      <c r="C12" s="88" t="s">
        <v>357</v>
      </c>
      <c r="D12" s="88" t="s">
        <v>44</v>
      </c>
      <c r="E12" s="88" t="s">
        <v>282</v>
      </c>
      <c r="F12" s="88">
        <v>6</v>
      </c>
      <c r="G12" s="88">
        <v>7500</v>
      </c>
      <c r="H12" s="88">
        <v>3600</v>
      </c>
      <c r="I12" s="88">
        <v>11100</v>
      </c>
    </row>
    <row r="13" spans="1:9" ht="15.6" x14ac:dyDescent="0.3">
      <c r="A13" s="88">
        <v>11</v>
      </c>
      <c r="B13" s="88" t="s">
        <v>575</v>
      </c>
      <c r="C13" s="88" t="s">
        <v>44</v>
      </c>
      <c r="D13" s="88" t="s">
        <v>124</v>
      </c>
      <c r="E13" s="88" t="s">
        <v>60</v>
      </c>
      <c r="F13" s="88">
        <v>2</v>
      </c>
      <c r="G13" s="88">
        <v>4900</v>
      </c>
      <c r="H13" s="88">
        <v>1200</v>
      </c>
      <c r="I13" s="88">
        <v>6100</v>
      </c>
    </row>
    <row r="14" spans="1:9" ht="15.6" x14ac:dyDescent="0.3">
      <c r="A14" s="88">
        <v>12</v>
      </c>
      <c r="B14" s="88" t="s">
        <v>577</v>
      </c>
      <c r="C14" s="88" t="s">
        <v>357</v>
      </c>
      <c r="D14" s="88" t="s">
        <v>44</v>
      </c>
      <c r="E14" s="88" t="s">
        <v>282</v>
      </c>
      <c r="F14" s="88">
        <v>6</v>
      </c>
      <c r="G14" s="88">
        <v>7500</v>
      </c>
      <c r="H14" s="88">
        <v>3600</v>
      </c>
      <c r="I14" s="88">
        <v>11100</v>
      </c>
    </row>
    <row r="15" spans="1:9" ht="15.6" x14ac:dyDescent="0.3">
      <c r="A15" s="88">
        <v>13</v>
      </c>
      <c r="B15" s="88" t="s">
        <v>577</v>
      </c>
      <c r="C15" s="88" t="s">
        <v>357</v>
      </c>
      <c r="D15" s="88" t="s">
        <v>44</v>
      </c>
      <c r="E15" s="88" t="s">
        <v>57</v>
      </c>
      <c r="F15" s="88">
        <v>6</v>
      </c>
      <c r="G15" s="88">
        <v>7500</v>
      </c>
      <c r="H15" s="88">
        <v>3600</v>
      </c>
      <c r="I15" s="88">
        <v>11100</v>
      </c>
    </row>
    <row r="16" spans="1:9" ht="15.6" x14ac:dyDescent="0.3">
      <c r="A16" s="88">
        <v>14</v>
      </c>
      <c r="B16" s="88" t="s">
        <v>577</v>
      </c>
      <c r="C16" s="88" t="s">
        <v>44</v>
      </c>
      <c r="D16" s="88" t="s">
        <v>124</v>
      </c>
      <c r="E16" s="88" t="s">
        <v>60</v>
      </c>
      <c r="F16" s="88">
        <v>2</v>
      </c>
      <c r="G16" s="88">
        <v>4900</v>
      </c>
      <c r="H16" s="88">
        <v>1200</v>
      </c>
      <c r="I16" s="88">
        <v>6100</v>
      </c>
    </row>
    <row r="17" spans="1:9" ht="15.6" x14ac:dyDescent="0.3">
      <c r="A17" s="88">
        <v>15</v>
      </c>
      <c r="B17" s="88" t="s">
        <v>578</v>
      </c>
      <c r="C17" s="88" t="s">
        <v>44</v>
      </c>
      <c r="D17" s="88" t="s">
        <v>65</v>
      </c>
      <c r="E17" s="88" t="s">
        <v>57</v>
      </c>
      <c r="F17" s="88">
        <v>6</v>
      </c>
      <c r="G17" s="88">
        <v>6200</v>
      </c>
      <c r="H17" s="88">
        <v>3600</v>
      </c>
      <c r="I17" s="88">
        <v>9800</v>
      </c>
    </row>
    <row r="18" spans="1:9" ht="15.6" x14ac:dyDescent="0.3">
      <c r="A18" s="88">
        <v>16</v>
      </c>
      <c r="B18" s="88" t="s">
        <v>579</v>
      </c>
      <c r="C18" s="88" t="s">
        <v>71</v>
      </c>
      <c r="D18" s="88" t="s">
        <v>44</v>
      </c>
      <c r="E18" s="88" t="s">
        <v>236</v>
      </c>
      <c r="F18" s="88">
        <v>6</v>
      </c>
      <c r="G18" s="88">
        <v>7500</v>
      </c>
      <c r="H18" s="88">
        <v>3600</v>
      </c>
      <c r="I18" s="88">
        <v>11100</v>
      </c>
    </row>
    <row r="19" spans="1:9" ht="15.6" x14ac:dyDescent="0.3">
      <c r="A19" s="88">
        <v>17</v>
      </c>
      <c r="B19" s="88" t="s">
        <v>579</v>
      </c>
      <c r="C19" s="88" t="s">
        <v>71</v>
      </c>
      <c r="D19" s="88" t="s">
        <v>44</v>
      </c>
      <c r="E19" s="88" t="s">
        <v>57</v>
      </c>
      <c r="F19" s="88">
        <v>6</v>
      </c>
      <c r="G19" s="88">
        <v>7500</v>
      </c>
      <c r="H19" s="88">
        <v>3600</v>
      </c>
      <c r="I19" s="88">
        <v>11100</v>
      </c>
    </row>
    <row r="20" spans="1:9" ht="15.6" x14ac:dyDescent="0.3">
      <c r="A20" s="88">
        <v>18</v>
      </c>
      <c r="B20" s="88" t="s">
        <v>579</v>
      </c>
      <c r="C20" s="88" t="s">
        <v>44</v>
      </c>
      <c r="D20" s="88" t="s">
        <v>65</v>
      </c>
      <c r="E20" s="88" t="s">
        <v>60</v>
      </c>
      <c r="F20" s="88">
        <v>2</v>
      </c>
      <c r="G20" s="88">
        <v>5000</v>
      </c>
      <c r="H20" s="88">
        <v>1200</v>
      </c>
      <c r="I20" s="88">
        <v>6200</v>
      </c>
    </row>
    <row r="21" spans="1:9" ht="15.6" x14ac:dyDescent="0.3">
      <c r="A21" s="88">
        <v>19</v>
      </c>
      <c r="B21" s="88" t="s">
        <v>580</v>
      </c>
      <c r="C21" s="88" t="s">
        <v>71</v>
      </c>
      <c r="D21" s="88" t="s">
        <v>44</v>
      </c>
      <c r="E21" s="88" t="s">
        <v>57</v>
      </c>
      <c r="F21" s="88">
        <v>6</v>
      </c>
      <c r="G21" s="88">
        <v>7500</v>
      </c>
      <c r="H21" s="88">
        <v>3600</v>
      </c>
      <c r="I21" s="88">
        <v>11100</v>
      </c>
    </row>
    <row r="22" spans="1:9" ht="15.6" x14ac:dyDescent="0.3">
      <c r="A22" s="88">
        <v>20</v>
      </c>
      <c r="B22" s="88" t="s">
        <v>580</v>
      </c>
      <c r="C22" s="88" t="s">
        <v>71</v>
      </c>
      <c r="D22" s="88" t="s">
        <v>44</v>
      </c>
      <c r="E22" s="88" t="s">
        <v>77</v>
      </c>
      <c r="F22" s="88">
        <v>6</v>
      </c>
      <c r="G22" s="88">
        <v>7500</v>
      </c>
      <c r="H22" s="88">
        <v>3600</v>
      </c>
      <c r="I22" s="88">
        <v>11100</v>
      </c>
    </row>
    <row r="23" spans="1:9" ht="15.6" x14ac:dyDescent="0.3">
      <c r="A23" s="88">
        <v>21</v>
      </c>
      <c r="B23" s="88" t="s">
        <v>581</v>
      </c>
      <c r="C23" s="88" t="s">
        <v>71</v>
      </c>
      <c r="D23" s="88" t="s">
        <v>44</v>
      </c>
      <c r="E23" s="88" t="s">
        <v>57</v>
      </c>
      <c r="F23" s="88">
        <v>6</v>
      </c>
      <c r="G23" s="88">
        <v>7500</v>
      </c>
      <c r="H23" s="88">
        <v>3600</v>
      </c>
      <c r="I23" s="88">
        <v>11100</v>
      </c>
    </row>
    <row r="24" spans="1:9" ht="15.6" x14ac:dyDescent="0.3">
      <c r="A24" s="88">
        <v>22</v>
      </c>
      <c r="B24" s="88" t="s">
        <v>581</v>
      </c>
      <c r="C24" s="88" t="s">
        <v>43</v>
      </c>
      <c r="D24" s="88" t="s">
        <v>44</v>
      </c>
      <c r="E24" s="88" t="s">
        <v>77</v>
      </c>
      <c r="F24" s="88">
        <v>6</v>
      </c>
      <c r="G24" s="88">
        <v>7500</v>
      </c>
      <c r="H24" s="88">
        <v>3600</v>
      </c>
      <c r="I24" s="88">
        <v>11100</v>
      </c>
    </row>
    <row r="25" spans="1:9" ht="15.6" x14ac:dyDescent="0.3">
      <c r="A25" s="88">
        <v>23</v>
      </c>
      <c r="B25" s="88" t="s">
        <v>581</v>
      </c>
      <c r="C25" s="88" t="s">
        <v>357</v>
      </c>
      <c r="D25" s="88" t="s">
        <v>44</v>
      </c>
      <c r="E25" s="88" t="s">
        <v>125</v>
      </c>
      <c r="F25" s="88">
        <v>6</v>
      </c>
      <c r="G25" s="88">
        <v>7500</v>
      </c>
      <c r="H25" s="88">
        <v>3600</v>
      </c>
      <c r="I25" s="88">
        <v>11100</v>
      </c>
    </row>
    <row r="26" spans="1:9" ht="15.6" x14ac:dyDescent="0.3">
      <c r="A26" s="88">
        <v>24</v>
      </c>
      <c r="B26" s="88" t="s">
        <v>581</v>
      </c>
      <c r="C26" s="88" t="s">
        <v>582</v>
      </c>
      <c r="D26" s="88" t="s">
        <v>124</v>
      </c>
      <c r="E26" s="88" t="s">
        <v>583</v>
      </c>
      <c r="F26" s="88">
        <v>1</v>
      </c>
      <c r="G26" s="88">
        <v>3500</v>
      </c>
      <c r="H26" s="88">
        <v>600</v>
      </c>
      <c r="I26" s="88">
        <v>4100</v>
      </c>
    </row>
    <row r="27" spans="1:9" ht="15.6" x14ac:dyDescent="0.3">
      <c r="A27" s="88">
        <v>25</v>
      </c>
      <c r="B27" s="88" t="s">
        <v>581</v>
      </c>
      <c r="C27" s="88" t="s">
        <v>44</v>
      </c>
      <c r="D27" s="88" t="s">
        <v>124</v>
      </c>
      <c r="E27" s="88" t="s">
        <v>583</v>
      </c>
      <c r="F27" s="88">
        <v>2</v>
      </c>
      <c r="G27" s="88">
        <v>4900</v>
      </c>
      <c r="H27" s="88">
        <v>1200</v>
      </c>
      <c r="I27" s="88">
        <v>6100</v>
      </c>
    </row>
    <row r="28" spans="1:9" ht="15.6" x14ac:dyDescent="0.3">
      <c r="A28" s="88">
        <v>26</v>
      </c>
      <c r="B28" s="88" t="s">
        <v>584</v>
      </c>
      <c r="C28" s="88" t="s">
        <v>71</v>
      </c>
      <c r="D28" s="88" t="s">
        <v>44</v>
      </c>
      <c r="E28" s="88" t="s">
        <v>92</v>
      </c>
      <c r="F28" s="88">
        <v>6</v>
      </c>
      <c r="G28" s="88">
        <v>7500</v>
      </c>
      <c r="H28" s="88">
        <v>3600</v>
      </c>
      <c r="I28" s="88">
        <v>11100</v>
      </c>
    </row>
    <row r="29" spans="1:9" ht="15.6" x14ac:dyDescent="0.3">
      <c r="A29" s="88">
        <v>27</v>
      </c>
      <c r="B29" s="88" t="s">
        <v>584</v>
      </c>
      <c r="C29" s="88" t="s">
        <v>71</v>
      </c>
      <c r="D29" s="88" t="s">
        <v>44</v>
      </c>
      <c r="E29" s="88" t="s">
        <v>57</v>
      </c>
      <c r="F29" s="88">
        <v>6</v>
      </c>
      <c r="G29" s="88">
        <v>7500</v>
      </c>
      <c r="H29" s="88">
        <v>3600</v>
      </c>
      <c r="I29" s="88">
        <v>11100</v>
      </c>
    </row>
    <row r="30" spans="1:9" ht="15.6" x14ac:dyDescent="0.3">
      <c r="A30" s="88">
        <v>28</v>
      </c>
      <c r="B30" s="88" t="s">
        <v>584</v>
      </c>
      <c r="C30" s="88" t="s">
        <v>357</v>
      </c>
      <c r="D30" s="88" t="s">
        <v>44</v>
      </c>
      <c r="E30" s="88" t="s">
        <v>282</v>
      </c>
      <c r="F30" s="88">
        <v>6</v>
      </c>
      <c r="G30" s="88">
        <v>7500</v>
      </c>
      <c r="H30" s="88">
        <v>3600</v>
      </c>
      <c r="I30" s="88">
        <v>11100</v>
      </c>
    </row>
    <row r="31" spans="1:9" ht="15.6" x14ac:dyDescent="0.3">
      <c r="A31" s="88">
        <v>29</v>
      </c>
      <c r="B31" s="88" t="s">
        <v>584</v>
      </c>
      <c r="C31" s="88" t="s">
        <v>585</v>
      </c>
      <c r="D31" s="88" t="s">
        <v>44</v>
      </c>
      <c r="E31" s="88" t="s">
        <v>60</v>
      </c>
      <c r="F31" s="88">
        <v>1</v>
      </c>
      <c r="G31" s="88">
        <v>3500</v>
      </c>
      <c r="H31" s="88">
        <v>600</v>
      </c>
      <c r="I31" s="88">
        <v>4100</v>
      </c>
    </row>
    <row r="32" spans="1:9" ht="15.6" x14ac:dyDescent="0.3">
      <c r="A32" s="88" t="s">
        <v>586</v>
      </c>
      <c r="B32" s="88" t="s">
        <v>561</v>
      </c>
      <c r="C32" s="88" t="s">
        <v>561</v>
      </c>
      <c r="D32" s="88" t="s">
        <v>561</v>
      </c>
      <c r="E32" s="88" t="s">
        <v>561</v>
      </c>
      <c r="F32" s="88">
        <v>120</v>
      </c>
      <c r="G32" s="88">
        <f>SUM(G3:G31)</f>
        <v>171800</v>
      </c>
      <c r="H32" s="88">
        <v>72000</v>
      </c>
      <c r="I32" s="88">
        <v>243800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820-40CE-4AB8-8003-EB4F5931D19D}">
  <dimension ref="A1:I64"/>
  <sheetViews>
    <sheetView topLeftCell="A3" zoomScale="92" workbookViewId="0">
      <selection activeCell="J17" sqref="J17"/>
    </sheetView>
  </sheetViews>
  <sheetFormatPr defaultRowHeight="14.4" x14ac:dyDescent="0.3"/>
  <cols>
    <col min="2" max="2" width="17.44140625" customWidth="1"/>
    <col min="3" max="3" width="24.77734375" customWidth="1"/>
    <col min="4" max="4" width="19.77734375" customWidth="1"/>
    <col min="5" max="5" width="15.77734375" customWidth="1"/>
    <col min="6" max="6" width="22.44140625" customWidth="1"/>
    <col min="7" max="7" width="10.44140625" customWidth="1"/>
    <col min="8" max="8" width="11.109375" customWidth="1"/>
    <col min="9" max="9" width="14.33203125" customWidth="1"/>
  </cols>
  <sheetData>
    <row r="1" spans="1:9" x14ac:dyDescent="0.3">
      <c r="A1" s="10" t="s">
        <v>612</v>
      </c>
      <c r="B1" s="10"/>
      <c r="C1" s="10"/>
      <c r="D1" s="10"/>
      <c r="E1" s="10"/>
      <c r="F1" s="10"/>
      <c r="G1" s="10"/>
      <c r="H1" s="10"/>
      <c r="I1" s="10"/>
    </row>
    <row r="2" spans="1:9" ht="15.6" x14ac:dyDescent="0.3">
      <c r="A2" s="88" t="s">
        <v>25</v>
      </c>
      <c r="B2" s="88" t="s">
        <v>26</v>
      </c>
      <c r="C2" s="88" t="s">
        <v>27</v>
      </c>
      <c r="D2" s="88" t="s">
        <v>171</v>
      </c>
      <c r="E2" s="88" t="s">
        <v>30</v>
      </c>
      <c r="F2" s="88" t="s">
        <v>566</v>
      </c>
      <c r="G2" s="88" t="s">
        <v>35</v>
      </c>
      <c r="H2" s="88" t="s">
        <v>36</v>
      </c>
      <c r="I2" s="88" t="s">
        <v>567</v>
      </c>
    </row>
    <row r="3" spans="1:9" ht="15.6" x14ac:dyDescent="0.3">
      <c r="A3" s="88">
        <v>1</v>
      </c>
      <c r="B3" s="88" t="s">
        <v>587</v>
      </c>
      <c r="C3" s="88" t="s">
        <v>44</v>
      </c>
      <c r="D3" s="88" t="s">
        <v>124</v>
      </c>
      <c r="E3" s="88" t="s">
        <v>60</v>
      </c>
      <c r="F3" s="88">
        <v>1</v>
      </c>
      <c r="G3" s="88">
        <v>3500</v>
      </c>
      <c r="H3" s="88">
        <v>600</v>
      </c>
      <c r="I3" s="88">
        <v>4100</v>
      </c>
    </row>
    <row r="4" spans="1:9" ht="15.6" x14ac:dyDescent="0.3">
      <c r="A4" s="88">
        <v>2</v>
      </c>
      <c r="B4" s="88" t="s">
        <v>587</v>
      </c>
      <c r="C4" s="88" t="s">
        <v>357</v>
      </c>
      <c r="D4" s="88" t="s">
        <v>44</v>
      </c>
      <c r="E4" s="88" t="s">
        <v>77</v>
      </c>
      <c r="F4" s="88">
        <v>6</v>
      </c>
      <c r="G4" s="88">
        <v>7500</v>
      </c>
      <c r="H4" s="88">
        <v>3600</v>
      </c>
      <c r="I4" s="88">
        <v>11100</v>
      </c>
    </row>
    <row r="5" spans="1:9" ht="15.6" x14ac:dyDescent="0.3">
      <c r="A5" s="88">
        <v>3</v>
      </c>
      <c r="B5" s="88" t="s">
        <v>588</v>
      </c>
      <c r="C5" s="88" t="s">
        <v>357</v>
      </c>
      <c r="D5" s="88" t="s">
        <v>44</v>
      </c>
      <c r="E5" s="88" t="s">
        <v>57</v>
      </c>
      <c r="F5" s="88">
        <v>6</v>
      </c>
      <c r="G5" s="88">
        <v>7500</v>
      </c>
      <c r="H5" s="88">
        <v>3600</v>
      </c>
      <c r="I5" s="88">
        <v>11100</v>
      </c>
    </row>
    <row r="6" spans="1:9" ht="15.6" x14ac:dyDescent="0.3">
      <c r="A6" s="88">
        <v>4</v>
      </c>
      <c r="B6" s="88" t="s">
        <v>589</v>
      </c>
      <c r="C6" s="88" t="s">
        <v>44</v>
      </c>
      <c r="D6" s="88" t="s">
        <v>124</v>
      </c>
      <c r="E6" s="88" t="s">
        <v>60</v>
      </c>
      <c r="F6" s="88">
        <v>2</v>
      </c>
      <c r="G6" s="88">
        <v>4900</v>
      </c>
      <c r="H6" s="88">
        <v>1200</v>
      </c>
      <c r="I6" s="88">
        <v>6100</v>
      </c>
    </row>
    <row r="7" spans="1:9" ht="15.6" x14ac:dyDescent="0.3">
      <c r="A7" s="88">
        <v>5</v>
      </c>
      <c r="B7" s="88" t="s">
        <v>589</v>
      </c>
      <c r="C7" s="88" t="s">
        <v>71</v>
      </c>
      <c r="D7" s="88" t="s">
        <v>44</v>
      </c>
      <c r="E7" s="88" t="s">
        <v>77</v>
      </c>
      <c r="F7" s="88">
        <v>6</v>
      </c>
      <c r="G7" s="88">
        <v>7500</v>
      </c>
      <c r="H7" s="88">
        <v>3600</v>
      </c>
      <c r="I7" s="88">
        <v>11100</v>
      </c>
    </row>
    <row r="8" spans="1:9" ht="15.6" x14ac:dyDescent="0.3">
      <c r="A8" s="88">
        <v>6</v>
      </c>
      <c r="B8" s="88" t="s">
        <v>590</v>
      </c>
      <c r="C8" s="88" t="s">
        <v>43</v>
      </c>
      <c r="D8" s="88" t="s">
        <v>44</v>
      </c>
      <c r="E8" s="88" t="s">
        <v>282</v>
      </c>
      <c r="F8" s="88">
        <v>6</v>
      </c>
      <c r="G8" s="88">
        <v>7500</v>
      </c>
      <c r="H8" s="88">
        <v>3600</v>
      </c>
      <c r="I8" s="88">
        <v>11100</v>
      </c>
    </row>
    <row r="9" spans="1:9" ht="15.6" x14ac:dyDescent="0.3">
      <c r="A9" s="88">
        <v>7</v>
      </c>
      <c r="B9" s="88" t="s">
        <v>591</v>
      </c>
      <c r="C9" s="88" t="s">
        <v>44</v>
      </c>
      <c r="D9" s="88" t="s">
        <v>124</v>
      </c>
      <c r="E9" s="88" t="s">
        <v>57</v>
      </c>
      <c r="F9" s="88">
        <v>6</v>
      </c>
      <c r="G9" s="88">
        <v>5900</v>
      </c>
      <c r="H9" s="88">
        <v>3600</v>
      </c>
      <c r="I9" s="88">
        <v>9500</v>
      </c>
    </row>
    <row r="10" spans="1:9" ht="15.6" x14ac:dyDescent="0.3">
      <c r="A10" s="88">
        <v>8</v>
      </c>
      <c r="B10" s="88" t="s">
        <v>592</v>
      </c>
      <c r="C10" s="88" t="s">
        <v>585</v>
      </c>
      <c r="D10" s="88" t="s">
        <v>44</v>
      </c>
      <c r="E10" s="88" t="s">
        <v>94</v>
      </c>
      <c r="F10" s="88">
        <v>1</v>
      </c>
      <c r="G10" s="88">
        <v>3500</v>
      </c>
      <c r="H10" s="88">
        <v>600</v>
      </c>
      <c r="I10" s="88">
        <v>4100</v>
      </c>
    </row>
    <row r="11" spans="1:9" ht="15.6" x14ac:dyDescent="0.3">
      <c r="A11" s="88">
        <v>9</v>
      </c>
      <c r="B11" s="88" t="s">
        <v>592</v>
      </c>
      <c r="C11" s="88" t="s">
        <v>71</v>
      </c>
      <c r="D11" s="88" t="s">
        <v>44</v>
      </c>
      <c r="E11" s="88" t="s">
        <v>77</v>
      </c>
      <c r="F11" s="88">
        <v>6</v>
      </c>
      <c r="G11" s="88">
        <v>7500</v>
      </c>
      <c r="H11" s="88">
        <v>3600</v>
      </c>
      <c r="I11" s="88">
        <v>11100</v>
      </c>
    </row>
    <row r="12" spans="1:9" ht="15.6" x14ac:dyDescent="0.3">
      <c r="A12" s="88">
        <v>10</v>
      </c>
      <c r="B12" s="88" t="s">
        <v>592</v>
      </c>
      <c r="C12" s="88" t="s">
        <v>71</v>
      </c>
      <c r="D12" s="88" t="s">
        <v>44</v>
      </c>
      <c r="E12" s="88" t="s">
        <v>282</v>
      </c>
      <c r="F12" s="88">
        <v>6</v>
      </c>
      <c r="G12" s="88">
        <v>7500</v>
      </c>
      <c r="H12" s="88">
        <v>3600</v>
      </c>
      <c r="I12" s="88">
        <v>11100</v>
      </c>
    </row>
    <row r="13" spans="1:9" ht="15.6" x14ac:dyDescent="0.3">
      <c r="A13" s="88">
        <v>11</v>
      </c>
      <c r="B13" s="88" t="s">
        <v>593</v>
      </c>
      <c r="C13" s="88" t="s">
        <v>44</v>
      </c>
      <c r="D13" s="88" t="s">
        <v>124</v>
      </c>
      <c r="E13" s="88" t="s">
        <v>60</v>
      </c>
      <c r="F13" s="88">
        <v>1</v>
      </c>
      <c r="G13" s="88">
        <v>3500</v>
      </c>
      <c r="H13" s="88">
        <v>600</v>
      </c>
      <c r="I13" s="88">
        <v>4100</v>
      </c>
    </row>
    <row r="14" spans="1:9" ht="15.6" x14ac:dyDescent="0.3">
      <c r="A14" s="88">
        <v>12</v>
      </c>
      <c r="B14" s="88" t="s">
        <v>593</v>
      </c>
      <c r="C14" s="88" t="s">
        <v>43</v>
      </c>
      <c r="D14" s="88" t="s">
        <v>44</v>
      </c>
      <c r="E14" s="88" t="s">
        <v>282</v>
      </c>
      <c r="F14" s="88">
        <v>6</v>
      </c>
      <c r="G14" s="88">
        <v>7500</v>
      </c>
      <c r="H14" s="88">
        <v>3600</v>
      </c>
      <c r="I14" s="88">
        <v>11100</v>
      </c>
    </row>
    <row r="15" spans="1:9" ht="15.6" x14ac:dyDescent="0.3">
      <c r="A15" s="88">
        <v>13</v>
      </c>
      <c r="B15" s="88" t="s">
        <v>594</v>
      </c>
      <c r="C15" s="88" t="s">
        <v>44</v>
      </c>
      <c r="D15" s="88" t="s">
        <v>124</v>
      </c>
      <c r="E15" s="88" t="s">
        <v>60</v>
      </c>
      <c r="F15" s="88">
        <v>1</v>
      </c>
      <c r="G15" s="88">
        <v>3500</v>
      </c>
      <c r="H15" s="88">
        <v>600</v>
      </c>
      <c r="I15" s="88">
        <v>4100</v>
      </c>
    </row>
    <row r="16" spans="1:9" ht="15.6" x14ac:dyDescent="0.3">
      <c r="A16" s="88">
        <v>14</v>
      </c>
      <c r="B16" s="88" t="s">
        <v>595</v>
      </c>
      <c r="C16" s="88" t="s">
        <v>43</v>
      </c>
      <c r="D16" s="88" t="s">
        <v>44</v>
      </c>
      <c r="E16" s="88" t="s">
        <v>77</v>
      </c>
      <c r="F16" s="88">
        <v>6</v>
      </c>
      <c r="G16" s="88">
        <v>7500</v>
      </c>
      <c r="H16" s="88">
        <v>3600</v>
      </c>
      <c r="I16" s="88">
        <v>11100</v>
      </c>
    </row>
    <row r="17" spans="1:9" ht="15.6" x14ac:dyDescent="0.3">
      <c r="A17" s="88">
        <v>15</v>
      </c>
      <c r="B17" s="88" t="s">
        <v>595</v>
      </c>
      <c r="C17" s="88" t="s">
        <v>44</v>
      </c>
      <c r="D17" s="88" t="s">
        <v>124</v>
      </c>
      <c r="E17" s="88" t="s">
        <v>77</v>
      </c>
      <c r="F17" s="88">
        <v>6</v>
      </c>
      <c r="G17" s="88">
        <v>5900</v>
      </c>
      <c r="H17" s="88">
        <v>3600</v>
      </c>
      <c r="I17" s="88">
        <v>9500</v>
      </c>
    </row>
    <row r="18" spans="1:9" ht="15.6" x14ac:dyDescent="0.3">
      <c r="A18" s="88">
        <v>16</v>
      </c>
      <c r="B18" s="88" t="s">
        <v>595</v>
      </c>
      <c r="C18" s="88" t="s">
        <v>71</v>
      </c>
      <c r="D18" s="88" t="s">
        <v>44</v>
      </c>
      <c r="E18" s="88" t="s">
        <v>92</v>
      </c>
      <c r="F18" s="88">
        <v>6</v>
      </c>
      <c r="G18" s="88">
        <v>7500</v>
      </c>
      <c r="H18" s="88">
        <v>3600</v>
      </c>
      <c r="I18" s="88">
        <v>11100</v>
      </c>
    </row>
    <row r="19" spans="1:9" ht="15.6" x14ac:dyDescent="0.3">
      <c r="A19" s="88">
        <v>17</v>
      </c>
      <c r="B19" s="88" t="s">
        <v>595</v>
      </c>
      <c r="C19" s="88" t="s">
        <v>71</v>
      </c>
      <c r="D19" s="88" t="s">
        <v>44</v>
      </c>
      <c r="E19" s="88" t="s">
        <v>282</v>
      </c>
      <c r="F19" s="88">
        <v>6</v>
      </c>
      <c r="G19" s="88">
        <v>7500</v>
      </c>
      <c r="H19" s="88">
        <v>3600</v>
      </c>
      <c r="I19" s="88">
        <v>11100</v>
      </c>
    </row>
    <row r="20" spans="1:9" ht="15.6" x14ac:dyDescent="0.3">
      <c r="A20" s="88">
        <v>18</v>
      </c>
      <c r="B20" s="88" t="s">
        <v>596</v>
      </c>
      <c r="C20" s="88" t="s">
        <v>44</v>
      </c>
      <c r="D20" s="88" t="s">
        <v>124</v>
      </c>
      <c r="E20" s="88" t="s">
        <v>60</v>
      </c>
      <c r="F20" s="88">
        <v>1</v>
      </c>
      <c r="G20" s="88">
        <v>3500</v>
      </c>
      <c r="H20" s="88">
        <v>600</v>
      </c>
      <c r="I20" s="88">
        <v>4100</v>
      </c>
    </row>
    <row r="21" spans="1:9" ht="15.6" x14ac:dyDescent="0.3">
      <c r="A21" s="88">
        <v>19</v>
      </c>
      <c r="B21" s="88" t="s">
        <v>596</v>
      </c>
      <c r="C21" s="88" t="s">
        <v>71</v>
      </c>
      <c r="D21" s="88" t="s">
        <v>44</v>
      </c>
      <c r="E21" s="88" t="s">
        <v>77</v>
      </c>
      <c r="F21" s="88">
        <v>6</v>
      </c>
      <c r="G21" s="88">
        <v>7500</v>
      </c>
      <c r="H21" s="88">
        <v>3600</v>
      </c>
      <c r="I21" s="88">
        <v>11100</v>
      </c>
    </row>
    <row r="22" spans="1:9" ht="15.6" x14ac:dyDescent="0.3">
      <c r="A22" s="88">
        <v>20</v>
      </c>
      <c r="B22" s="88" t="s">
        <v>596</v>
      </c>
      <c r="C22" s="88" t="s">
        <v>71</v>
      </c>
      <c r="D22" s="88" t="s">
        <v>44</v>
      </c>
      <c r="E22" s="88" t="s">
        <v>282</v>
      </c>
      <c r="F22" s="88">
        <v>6</v>
      </c>
      <c r="G22" s="88">
        <v>7500</v>
      </c>
      <c r="H22" s="88">
        <v>3600</v>
      </c>
      <c r="I22" s="88">
        <v>11100</v>
      </c>
    </row>
    <row r="23" spans="1:9" ht="15.6" x14ac:dyDescent="0.3">
      <c r="A23" s="88">
        <v>21</v>
      </c>
      <c r="B23" s="88" t="s">
        <v>597</v>
      </c>
      <c r="C23" s="88" t="s">
        <v>344</v>
      </c>
      <c r="D23" s="88" t="s">
        <v>65</v>
      </c>
      <c r="E23" s="88" t="s">
        <v>60</v>
      </c>
      <c r="F23" s="88">
        <v>2</v>
      </c>
      <c r="G23" s="88">
        <v>5000</v>
      </c>
      <c r="H23" s="88">
        <v>1200</v>
      </c>
      <c r="I23" s="88">
        <v>6200</v>
      </c>
    </row>
    <row r="24" spans="1:9" ht="15.6" x14ac:dyDescent="0.3">
      <c r="A24" s="88">
        <v>22</v>
      </c>
      <c r="B24" s="88" t="s">
        <v>597</v>
      </c>
      <c r="C24" s="88" t="s">
        <v>357</v>
      </c>
      <c r="D24" s="88" t="s">
        <v>44</v>
      </c>
      <c r="E24" s="88" t="s">
        <v>77</v>
      </c>
      <c r="F24" s="88">
        <v>6</v>
      </c>
      <c r="G24" s="88">
        <v>7500</v>
      </c>
      <c r="H24" s="88">
        <v>3600</v>
      </c>
      <c r="I24" s="88">
        <v>11100</v>
      </c>
    </row>
    <row r="25" spans="1:9" ht="15.6" x14ac:dyDescent="0.3">
      <c r="A25" s="88">
        <v>23</v>
      </c>
      <c r="B25" s="88" t="s">
        <v>597</v>
      </c>
      <c r="C25" s="88" t="s">
        <v>43</v>
      </c>
      <c r="D25" s="88" t="s">
        <v>44</v>
      </c>
      <c r="E25" s="88" t="s">
        <v>57</v>
      </c>
      <c r="F25" s="88">
        <v>6</v>
      </c>
      <c r="G25" s="88">
        <v>7500</v>
      </c>
      <c r="H25" s="88">
        <v>3600</v>
      </c>
      <c r="I25" s="88">
        <v>11100</v>
      </c>
    </row>
    <row r="26" spans="1:9" ht="15.6" x14ac:dyDescent="0.3">
      <c r="A26" s="88">
        <v>24</v>
      </c>
      <c r="B26" s="88" t="s">
        <v>597</v>
      </c>
      <c r="C26" s="88" t="s">
        <v>71</v>
      </c>
      <c r="D26" s="88" t="s">
        <v>44</v>
      </c>
      <c r="E26" s="88" t="s">
        <v>282</v>
      </c>
      <c r="F26" s="88">
        <v>6</v>
      </c>
      <c r="G26" s="88">
        <v>7500</v>
      </c>
      <c r="H26" s="88">
        <v>3600</v>
      </c>
      <c r="I26" s="88">
        <v>11100</v>
      </c>
    </row>
    <row r="27" spans="1:9" ht="15.6" x14ac:dyDescent="0.3">
      <c r="A27" s="88">
        <v>25</v>
      </c>
      <c r="B27" s="88" t="s">
        <v>597</v>
      </c>
      <c r="C27" s="88" t="s">
        <v>71</v>
      </c>
      <c r="D27" s="88" t="s">
        <v>44</v>
      </c>
      <c r="E27" s="88" t="s">
        <v>92</v>
      </c>
      <c r="F27" s="88">
        <v>6</v>
      </c>
      <c r="G27" s="88">
        <v>7500</v>
      </c>
      <c r="H27" s="88">
        <v>3600</v>
      </c>
      <c r="I27" s="88">
        <v>11100</v>
      </c>
    </row>
    <row r="28" spans="1:9" ht="15.6" x14ac:dyDescent="0.3">
      <c r="A28" s="88">
        <v>26</v>
      </c>
      <c r="B28" s="88" t="s">
        <v>598</v>
      </c>
      <c r="C28" s="88" t="s">
        <v>357</v>
      </c>
      <c r="D28" s="88" t="s">
        <v>44</v>
      </c>
      <c r="E28" s="88" t="s">
        <v>599</v>
      </c>
      <c r="F28" s="88">
        <v>6</v>
      </c>
      <c r="G28" s="88">
        <v>7500</v>
      </c>
      <c r="H28" s="88">
        <v>3600</v>
      </c>
      <c r="I28" s="88">
        <v>11100</v>
      </c>
    </row>
    <row r="29" spans="1:9" ht="15.6" x14ac:dyDescent="0.3">
      <c r="A29" s="88">
        <v>27</v>
      </c>
      <c r="B29" s="88" t="s">
        <v>598</v>
      </c>
      <c r="C29" s="88" t="s">
        <v>357</v>
      </c>
      <c r="D29" s="88" t="s">
        <v>44</v>
      </c>
      <c r="E29" s="88" t="s">
        <v>282</v>
      </c>
      <c r="F29" s="88">
        <v>6</v>
      </c>
      <c r="G29" s="88">
        <v>7500</v>
      </c>
      <c r="H29" s="88">
        <v>3600</v>
      </c>
      <c r="I29" s="88">
        <v>11100</v>
      </c>
    </row>
    <row r="30" spans="1:9" ht="15.6" x14ac:dyDescent="0.3">
      <c r="A30" s="88">
        <v>28</v>
      </c>
      <c r="B30" s="88" t="s">
        <v>600</v>
      </c>
      <c r="C30" s="88" t="s">
        <v>44</v>
      </c>
      <c r="D30" s="88" t="s">
        <v>124</v>
      </c>
      <c r="E30" s="88" t="s">
        <v>60</v>
      </c>
      <c r="F30" s="88">
        <v>1</v>
      </c>
      <c r="G30" s="88">
        <v>3500</v>
      </c>
      <c r="H30" s="88">
        <v>600</v>
      </c>
      <c r="I30" s="88">
        <v>4100</v>
      </c>
    </row>
    <row r="31" spans="1:9" ht="15.6" x14ac:dyDescent="0.3">
      <c r="A31" s="88">
        <v>29</v>
      </c>
      <c r="B31" s="88" t="s">
        <v>600</v>
      </c>
      <c r="C31" s="88" t="s">
        <v>43</v>
      </c>
      <c r="D31" s="88" t="s">
        <v>44</v>
      </c>
      <c r="E31" s="88" t="s">
        <v>60</v>
      </c>
      <c r="F31" s="88">
        <v>2</v>
      </c>
      <c r="G31" s="88">
        <v>6000</v>
      </c>
      <c r="H31" s="88">
        <v>1200</v>
      </c>
      <c r="I31" s="88">
        <v>7200</v>
      </c>
    </row>
    <row r="32" spans="1:9" ht="15.6" x14ac:dyDescent="0.3">
      <c r="A32" s="88">
        <v>30</v>
      </c>
      <c r="B32" s="88" t="s">
        <v>600</v>
      </c>
      <c r="C32" s="88" t="s">
        <v>71</v>
      </c>
      <c r="D32" s="88" t="s">
        <v>44</v>
      </c>
      <c r="E32" s="88" t="s">
        <v>599</v>
      </c>
      <c r="F32" s="88">
        <v>6</v>
      </c>
      <c r="G32" s="88">
        <v>7500</v>
      </c>
      <c r="H32" s="88">
        <v>3600</v>
      </c>
      <c r="I32" s="88">
        <v>11100</v>
      </c>
    </row>
    <row r="33" spans="1:9" ht="15.6" x14ac:dyDescent="0.3">
      <c r="A33" s="88">
        <v>31</v>
      </c>
      <c r="B33" s="88" t="s">
        <v>601</v>
      </c>
      <c r="C33" s="88" t="s">
        <v>44</v>
      </c>
      <c r="D33" s="88" t="s">
        <v>124</v>
      </c>
      <c r="E33" s="88" t="s">
        <v>60</v>
      </c>
      <c r="F33" s="88">
        <v>1</v>
      </c>
      <c r="G33" s="88">
        <v>3500</v>
      </c>
      <c r="H33" s="88">
        <v>600</v>
      </c>
      <c r="I33" s="88">
        <v>4100</v>
      </c>
    </row>
    <row r="34" spans="1:9" ht="15.6" x14ac:dyDescent="0.3">
      <c r="A34" s="88">
        <v>32</v>
      </c>
      <c r="B34" s="88" t="s">
        <v>601</v>
      </c>
      <c r="C34" s="88" t="s">
        <v>357</v>
      </c>
      <c r="D34" s="88" t="s">
        <v>44</v>
      </c>
      <c r="E34" s="88" t="s">
        <v>599</v>
      </c>
      <c r="F34" s="88">
        <v>6</v>
      </c>
      <c r="G34" s="88">
        <v>7500</v>
      </c>
      <c r="H34" s="88">
        <v>3600</v>
      </c>
      <c r="I34" s="88">
        <v>11100</v>
      </c>
    </row>
    <row r="35" spans="1:9" ht="15.6" x14ac:dyDescent="0.3">
      <c r="A35" s="88">
        <v>33</v>
      </c>
      <c r="B35" s="88" t="s">
        <v>601</v>
      </c>
      <c r="C35" s="88" t="s">
        <v>71</v>
      </c>
      <c r="D35" s="88" t="s">
        <v>44</v>
      </c>
      <c r="E35" s="88" t="s">
        <v>77</v>
      </c>
      <c r="F35" s="88">
        <v>6</v>
      </c>
      <c r="G35" s="88">
        <v>7500</v>
      </c>
      <c r="H35" s="88">
        <v>3600</v>
      </c>
      <c r="I35" s="88">
        <v>11100</v>
      </c>
    </row>
    <row r="36" spans="1:9" ht="15.6" x14ac:dyDescent="0.3">
      <c r="A36" s="88">
        <v>34</v>
      </c>
      <c r="B36" s="88" t="s">
        <v>602</v>
      </c>
      <c r="C36" s="88" t="s">
        <v>44</v>
      </c>
      <c r="D36" s="88" t="s">
        <v>124</v>
      </c>
      <c r="E36" s="88" t="s">
        <v>60</v>
      </c>
      <c r="F36" s="88">
        <v>1</v>
      </c>
      <c r="G36" s="88">
        <v>3500</v>
      </c>
      <c r="H36" s="88">
        <v>600</v>
      </c>
      <c r="I36" s="88">
        <v>4100</v>
      </c>
    </row>
    <row r="37" spans="1:9" ht="15.6" x14ac:dyDescent="0.3">
      <c r="A37" s="88">
        <v>35</v>
      </c>
      <c r="B37" s="88" t="s">
        <v>603</v>
      </c>
      <c r="C37" s="88" t="s">
        <v>124</v>
      </c>
      <c r="D37" s="88" t="s">
        <v>44</v>
      </c>
      <c r="E37" s="88" t="s">
        <v>60</v>
      </c>
      <c r="F37" s="88">
        <v>1</v>
      </c>
      <c r="G37" s="88">
        <v>3500</v>
      </c>
      <c r="H37" s="88">
        <v>600</v>
      </c>
      <c r="I37" s="88">
        <v>4100</v>
      </c>
    </row>
    <row r="38" spans="1:9" ht="15.6" x14ac:dyDescent="0.3">
      <c r="A38" s="88">
        <v>36</v>
      </c>
      <c r="B38" s="88" t="s">
        <v>603</v>
      </c>
      <c r="C38" s="88" t="s">
        <v>43</v>
      </c>
      <c r="D38" s="88" t="s">
        <v>44</v>
      </c>
      <c r="E38" s="88" t="s">
        <v>57</v>
      </c>
      <c r="F38" s="88">
        <v>6</v>
      </c>
      <c r="G38" s="88">
        <v>7500</v>
      </c>
      <c r="H38" s="88">
        <v>3600</v>
      </c>
      <c r="I38" s="88">
        <v>11100</v>
      </c>
    </row>
    <row r="39" spans="1:9" ht="15.6" x14ac:dyDescent="0.3">
      <c r="A39" s="88">
        <v>37</v>
      </c>
      <c r="B39" s="88" t="s">
        <v>603</v>
      </c>
      <c r="C39" s="88" t="s">
        <v>71</v>
      </c>
      <c r="D39" s="88" t="s">
        <v>44</v>
      </c>
      <c r="E39" s="88" t="s">
        <v>599</v>
      </c>
      <c r="F39" s="88">
        <v>6</v>
      </c>
      <c r="G39" s="88">
        <v>7500</v>
      </c>
      <c r="H39" s="88">
        <v>3600</v>
      </c>
      <c r="I39" s="88">
        <v>11100</v>
      </c>
    </row>
    <row r="40" spans="1:9" ht="15.6" x14ac:dyDescent="0.3">
      <c r="A40" s="88">
        <v>38</v>
      </c>
      <c r="B40" s="88" t="s">
        <v>603</v>
      </c>
      <c r="C40" s="88" t="s">
        <v>71</v>
      </c>
      <c r="D40" s="88" t="s">
        <v>44</v>
      </c>
      <c r="E40" s="88" t="s">
        <v>282</v>
      </c>
      <c r="F40" s="88">
        <v>6</v>
      </c>
      <c r="G40" s="88">
        <v>7500</v>
      </c>
      <c r="H40" s="88">
        <v>3600</v>
      </c>
      <c r="I40" s="88">
        <v>11100</v>
      </c>
    </row>
    <row r="41" spans="1:9" ht="15.6" x14ac:dyDescent="0.3">
      <c r="A41" s="88">
        <v>39</v>
      </c>
      <c r="B41" s="88" t="s">
        <v>604</v>
      </c>
      <c r="C41" s="88" t="s">
        <v>44</v>
      </c>
      <c r="D41" s="88" t="s">
        <v>65</v>
      </c>
      <c r="E41" s="88" t="s">
        <v>60</v>
      </c>
      <c r="F41" s="88">
        <v>1</v>
      </c>
      <c r="G41" s="88">
        <v>3500</v>
      </c>
      <c r="H41" s="88">
        <v>600</v>
      </c>
      <c r="I41" s="88">
        <v>4100</v>
      </c>
    </row>
    <row r="42" spans="1:9" ht="15.6" x14ac:dyDescent="0.3">
      <c r="A42" s="88">
        <v>40</v>
      </c>
      <c r="B42" s="88" t="s">
        <v>604</v>
      </c>
      <c r="C42" s="88" t="s">
        <v>344</v>
      </c>
      <c r="D42" s="88" t="s">
        <v>44</v>
      </c>
      <c r="E42" s="88" t="s">
        <v>282</v>
      </c>
      <c r="F42" s="88">
        <v>6</v>
      </c>
      <c r="G42" s="88">
        <v>6200</v>
      </c>
      <c r="H42" s="88">
        <v>3600</v>
      </c>
      <c r="I42" s="88">
        <v>9800</v>
      </c>
    </row>
    <row r="43" spans="1:9" ht="15.6" x14ac:dyDescent="0.3">
      <c r="A43" s="88">
        <v>41</v>
      </c>
      <c r="B43" s="88" t="s">
        <v>604</v>
      </c>
      <c r="C43" s="88" t="s">
        <v>344</v>
      </c>
      <c r="D43" s="88" t="s">
        <v>44</v>
      </c>
      <c r="E43" s="88" t="s">
        <v>77</v>
      </c>
      <c r="F43" s="88">
        <v>6</v>
      </c>
      <c r="G43" s="88">
        <v>6200</v>
      </c>
      <c r="H43" s="88">
        <v>3600</v>
      </c>
      <c r="I43" s="88">
        <v>9800</v>
      </c>
    </row>
    <row r="44" spans="1:9" ht="15.6" x14ac:dyDescent="0.3">
      <c r="A44" s="88">
        <v>42</v>
      </c>
      <c r="B44" s="88" t="s">
        <v>604</v>
      </c>
      <c r="C44" s="88" t="s">
        <v>71</v>
      </c>
      <c r="D44" s="88" t="s">
        <v>44</v>
      </c>
      <c r="E44" s="88" t="s">
        <v>599</v>
      </c>
      <c r="F44" s="88">
        <v>6</v>
      </c>
      <c r="G44" s="88">
        <v>7500</v>
      </c>
      <c r="H44" s="88">
        <v>3600</v>
      </c>
      <c r="I44" s="88">
        <v>11100</v>
      </c>
    </row>
    <row r="45" spans="1:9" ht="15.6" x14ac:dyDescent="0.3">
      <c r="A45" s="88">
        <v>43</v>
      </c>
      <c r="B45" s="88" t="s">
        <v>605</v>
      </c>
      <c r="C45" s="88" t="s">
        <v>44</v>
      </c>
      <c r="D45" s="88" t="s">
        <v>124</v>
      </c>
      <c r="E45" s="88" t="s">
        <v>60</v>
      </c>
      <c r="F45" s="88">
        <v>1</v>
      </c>
      <c r="G45" s="88">
        <v>3500</v>
      </c>
      <c r="H45" s="88">
        <v>600</v>
      </c>
      <c r="I45" s="88">
        <v>4100</v>
      </c>
    </row>
    <row r="46" spans="1:9" ht="15.6" x14ac:dyDescent="0.3">
      <c r="A46" s="88">
        <v>44</v>
      </c>
      <c r="B46" s="88" t="s">
        <v>605</v>
      </c>
      <c r="C46" s="88" t="s">
        <v>357</v>
      </c>
      <c r="D46" s="88" t="s">
        <v>44</v>
      </c>
      <c r="E46" s="88" t="s">
        <v>599</v>
      </c>
      <c r="F46" s="88">
        <v>6</v>
      </c>
      <c r="G46" s="88">
        <v>7500</v>
      </c>
      <c r="H46" s="88">
        <v>3600</v>
      </c>
      <c r="I46" s="88">
        <v>11100</v>
      </c>
    </row>
    <row r="47" spans="1:9" ht="15.6" x14ac:dyDescent="0.3">
      <c r="A47" s="88">
        <v>45</v>
      </c>
      <c r="B47" s="88" t="s">
        <v>605</v>
      </c>
      <c r="C47" s="88" t="s">
        <v>43</v>
      </c>
      <c r="D47" s="88" t="s">
        <v>44</v>
      </c>
      <c r="E47" s="88" t="s">
        <v>57</v>
      </c>
      <c r="F47" s="88">
        <v>4</v>
      </c>
      <c r="G47" s="88">
        <v>7500</v>
      </c>
      <c r="H47" s="88">
        <v>3600</v>
      </c>
      <c r="I47" s="88">
        <v>11100</v>
      </c>
    </row>
    <row r="48" spans="1:9" ht="15.6" x14ac:dyDescent="0.3">
      <c r="A48" s="88">
        <v>46</v>
      </c>
      <c r="B48" s="88" t="s">
        <v>605</v>
      </c>
      <c r="C48" s="88" t="s">
        <v>71</v>
      </c>
      <c r="D48" s="88" t="s">
        <v>44</v>
      </c>
      <c r="E48" s="88" t="s">
        <v>282</v>
      </c>
      <c r="F48" s="88">
        <v>6</v>
      </c>
      <c r="G48" s="88">
        <v>7500</v>
      </c>
      <c r="H48" s="88">
        <v>3600</v>
      </c>
      <c r="I48" s="88">
        <v>11100</v>
      </c>
    </row>
    <row r="49" spans="1:9" ht="15.6" x14ac:dyDescent="0.3">
      <c r="A49" s="88">
        <v>47</v>
      </c>
      <c r="B49" s="88" t="s">
        <v>606</v>
      </c>
      <c r="C49" s="88" t="s">
        <v>44</v>
      </c>
      <c r="D49" s="88" t="s">
        <v>124</v>
      </c>
      <c r="E49" s="88" t="s">
        <v>607</v>
      </c>
      <c r="F49" s="88">
        <v>6</v>
      </c>
      <c r="G49" s="88">
        <v>5900</v>
      </c>
      <c r="H49" s="88">
        <v>3600</v>
      </c>
      <c r="I49" s="88">
        <v>9500</v>
      </c>
    </row>
    <row r="50" spans="1:9" ht="15.6" x14ac:dyDescent="0.3">
      <c r="A50" s="88">
        <v>48</v>
      </c>
      <c r="B50" s="88" t="s">
        <v>606</v>
      </c>
      <c r="C50" s="88" t="s">
        <v>44</v>
      </c>
      <c r="D50" s="88" t="s">
        <v>124</v>
      </c>
      <c r="E50" s="88" t="s">
        <v>125</v>
      </c>
      <c r="F50" s="88">
        <v>6</v>
      </c>
      <c r="G50" s="88">
        <v>5900</v>
      </c>
      <c r="H50" s="88">
        <v>3600</v>
      </c>
      <c r="I50" s="88">
        <v>9500</v>
      </c>
    </row>
    <row r="51" spans="1:9" ht="15.6" x14ac:dyDescent="0.3">
      <c r="A51" s="88">
        <v>49</v>
      </c>
      <c r="B51" s="88" t="s">
        <v>606</v>
      </c>
      <c r="C51" s="88" t="s">
        <v>357</v>
      </c>
      <c r="D51" s="88" t="s">
        <v>44</v>
      </c>
      <c r="E51" s="88" t="s">
        <v>599</v>
      </c>
      <c r="F51" s="88">
        <v>6</v>
      </c>
      <c r="G51" s="88">
        <v>7500</v>
      </c>
      <c r="H51" s="88">
        <v>3600</v>
      </c>
      <c r="I51" s="88">
        <v>11100</v>
      </c>
    </row>
    <row r="52" spans="1:9" ht="15.6" x14ac:dyDescent="0.3">
      <c r="A52" s="88">
        <v>50</v>
      </c>
      <c r="B52" s="88" t="s">
        <v>606</v>
      </c>
      <c r="C52" s="88" t="s">
        <v>357</v>
      </c>
      <c r="D52" s="88" t="s">
        <v>44</v>
      </c>
      <c r="E52" s="88" t="s">
        <v>282</v>
      </c>
      <c r="F52" s="88">
        <v>6</v>
      </c>
      <c r="G52" s="88">
        <v>7500</v>
      </c>
      <c r="H52" s="88">
        <v>3600</v>
      </c>
      <c r="I52" s="88">
        <v>11100</v>
      </c>
    </row>
    <row r="53" spans="1:9" ht="15.6" x14ac:dyDescent="0.3">
      <c r="A53" s="88">
        <v>51</v>
      </c>
      <c r="B53" s="88" t="s">
        <v>608</v>
      </c>
      <c r="C53" s="88" t="s">
        <v>44</v>
      </c>
      <c r="D53" s="88" t="s">
        <v>65</v>
      </c>
      <c r="E53" s="88" t="s">
        <v>60</v>
      </c>
      <c r="F53" s="88">
        <v>3</v>
      </c>
      <c r="G53" s="88">
        <v>5000</v>
      </c>
      <c r="H53" s="88">
        <v>1200</v>
      </c>
      <c r="I53" s="88">
        <v>6200</v>
      </c>
    </row>
    <row r="54" spans="1:9" ht="15.6" x14ac:dyDescent="0.3">
      <c r="A54" s="88">
        <v>52</v>
      </c>
      <c r="B54" s="88" t="s">
        <v>608</v>
      </c>
      <c r="C54" s="88" t="s">
        <v>44</v>
      </c>
      <c r="D54" s="88" t="s">
        <v>124</v>
      </c>
      <c r="E54" s="88" t="s">
        <v>77</v>
      </c>
      <c r="F54" s="88">
        <v>6</v>
      </c>
      <c r="G54" s="88">
        <v>5900</v>
      </c>
      <c r="H54" s="88">
        <v>3600</v>
      </c>
      <c r="I54" s="88">
        <v>9500</v>
      </c>
    </row>
    <row r="55" spans="1:9" ht="15.6" x14ac:dyDescent="0.3">
      <c r="A55" s="88">
        <v>53</v>
      </c>
      <c r="B55" s="88" t="s">
        <v>608</v>
      </c>
      <c r="C55" s="88" t="s">
        <v>44</v>
      </c>
      <c r="D55" s="88" t="s">
        <v>124</v>
      </c>
      <c r="E55" s="88" t="s">
        <v>282</v>
      </c>
      <c r="F55" s="88">
        <v>6</v>
      </c>
      <c r="G55" s="88">
        <v>5900</v>
      </c>
      <c r="H55" s="88">
        <v>3600</v>
      </c>
      <c r="I55" s="88">
        <v>9500</v>
      </c>
    </row>
    <row r="56" spans="1:9" ht="15.6" x14ac:dyDescent="0.3">
      <c r="A56" s="88">
        <v>54</v>
      </c>
      <c r="B56" s="88" t="s">
        <v>608</v>
      </c>
      <c r="C56" s="88" t="s">
        <v>71</v>
      </c>
      <c r="D56" s="88" t="s">
        <v>44</v>
      </c>
      <c r="E56" s="88" t="s">
        <v>599</v>
      </c>
      <c r="F56" s="88">
        <v>6</v>
      </c>
      <c r="G56" s="88">
        <v>7500</v>
      </c>
      <c r="H56" s="88">
        <v>3600</v>
      </c>
      <c r="I56" s="88">
        <v>11100</v>
      </c>
    </row>
    <row r="57" spans="1:9" ht="15.6" x14ac:dyDescent="0.3">
      <c r="A57" s="88">
        <v>55</v>
      </c>
      <c r="B57" s="88" t="s">
        <v>609</v>
      </c>
      <c r="C57" s="88" t="s">
        <v>43</v>
      </c>
      <c r="D57" s="88" t="s">
        <v>44</v>
      </c>
      <c r="E57" s="88" t="s">
        <v>60</v>
      </c>
      <c r="F57" s="88">
        <v>3</v>
      </c>
      <c r="G57" s="88">
        <v>6000</v>
      </c>
      <c r="H57" s="88">
        <v>1800</v>
      </c>
      <c r="I57" s="88">
        <v>7800</v>
      </c>
    </row>
    <row r="58" spans="1:9" ht="15.6" x14ac:dyDescent="0.3">
      <c r="A58" s="88">
        <v>56</v>
      </c>
      <c r="B58" s="88" t="s">
        <v>609</v>
      </c>
      <c r="C58" s="88" t="s">
        <v>71</v>
      </c>
      <c r="D58" s="88" t="s">
        <v>44</v>
      </c>
      <c r="E58" s="88" t="s">
        <v>77</v>
      </c>
      <c r="F58" s="88">
        <v>6</v>
      </c>
      <c r="G58" s="88">
        <v>7500</v>
      </c>
      <c r="H58" s="88">
        <v>3600</v>
      </c>
      <c r="I58" s="88">
        <v>11100</v>
      </c>
    </row>
    <row r="59" spans="1:9" ht="15.6" x14ac:dyDescent="0.3">
      <c r="A59" s="88">
        <v>57</v>
      </c>
      <c r="B59" s="88" t="s">
        <v>609</v>
      </c>
      <c r="C59" s="88" t="s">
        <v>71</v>
      </c>
      <c r="D59" s="88" t="s">
        <v>44</v>
      </c>
      <c r="E59" s="88" t="s">
        <v>599</v>
      </c>
      <c r="F59" s="88">
        <v>6</v>
      </c>
      <c r="G59" s="88">
        <v>7500</v>
      </c>
      <c r="H59" s="88">
        <v>3600</v>
      </c>
      <c r="I59" s="88">
        <v>11100</v>
      </c>
    </row>
    <row r="60" spans="1:9" ht="15.6" x14ac:dyDescent="0.3">
      <c r="A60" s="88">
        <v>58</v>
      </c>
      <c r="B60" s="88" t="s">
        <v>610</v>
      </c>
      <c r="C60" s="88" t="s">
        <v>71</v>
      </c>
      <c r="D60" s="88" t="s">
        <v>44</v>
      </c>
      <c r="E60" s="88" t="s">
        <v>92</v>
      </c>
      <c r="F60" s="88">
        <v>6</v>
      </c>
      <c r="G60" s="88">
        <v>7500</v>
      </c>
      <c r="H60" s="88">
        <v>3600</v>
      </c>
      <c r="I60" s="88">
        <v>11100</v>
      </c>
    </row>
    <row r="61" spans="1:9" ht="15.6" x14ac:dyDescent="0.3">
      <c r="A61" s="88">
        <v>59</v>
      </c>
      <c r="B61" s="88" t="s">
        <v>610</v>
      </c>
      <c r="C61" s="88" t="s">
        <v>44</v>
      </c>
      <c r="D61" s="88" t="s">
        <v>124</v>
      </c>
      <c r="E61" s="88" t="s">
        <v>77</v>
      </c>
      <c r="F61" s="88">
        <v>6</v>
      </c>
      <c r="G61" s="88">
        <v>5900</v>
      </c>
      <c r="H61" s="88">
        <v>3600</v>
      </c>
      <c r="I61" s="88">
        <v>9500</v>
      </c>
    </row>
    <row r="62" spans="1:9" ht="15.6" x14ac:dyDescent="0.3">
      <c r="A62" s="88">
        <v>60</v>
      </c>
      <c r="B62" s="88" t="s">
        <v>610</v>
      </c>
      <c r="C62" s="88" t="s">
        <v>44</v>
      </c>
      <c r="D62" s="88" t="s">
        <v>124</v>
      </c>
      <c r="E62" s="88" t="s">
        <v>282</v>
      </c>
      <c r="F62" s="88">
        <v>6</v>
      </c>
      <c r="G62" s="88">
        <v>5900</v>
      </c>
      <c r="H62" s="88">
        <v>3600</v>
      </c>
      <c r="I62" s="88">
        <v>9500</v>
      </c>
    </row>
    <row r="63" spans="1:9" ht="15.6" x14ac:dyDescent="0.3">
      <c r="A63" s="88">
        <v>61</v>
      </c>
      <c r="B63" s="88" t="s">
        <v>610</v>
      </c>
      <c r="C63" s="88" t="s">
        <v>44</v>
      </c>
      <c r="D63" s="88" t="s">
        <v>124</v>
      </c>
      <c r="E63" s="88" t="s">
        <v>599</v>
      </c>
      <c r="F63" s="88">
        <v>6</v>
      </c>
      <c r="G63" s="88">
        <v>5900</v>
      </c>
      <c r="H63" s="88">
        <v>3600</v>
      </c>
      <c r="I63" s="88">
        <v>9500</v>
      </c>
    </row>
    <row r="64" spans="1:9" ht="15.6" x14ac:dyDescent="0.3">
      <c r="A64" s="97" t="s">
        <v>586</v>
      </c>
      <c r="B64" s="98" t="s">
        <v>561</v>
      </c>
      <c r="C64" s="98" t="s">
        <v>561</v>
      </c>
      <c r="D64" s="98" t="s">
        <v>561</v>
      </c>
      <c r="E64" s="98" t="s">
        <v>561</v>
      </c>
      <c r="F64" s="98">
        <v>291</v>
      </c>
      <c r="G64" s="98">
        <f>SUM(G3:G63)</f>
        <v>385900</v>
      </c>
      <c r="H64" s="98">
        <v>175200</v>
      </c>
      <c r="I64" s="99">
        <v>561100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C544-0EEC-4FBF-A298-B6109A415FBC}">
  <dimension ref="A1:I71"/>
  <sheetViews>
    <sheetView topLeftCell="A21" zoomScale="113" workbookViewId="0">
      <selection activeCell="F33" sqref="F33"/>
    </sheetView>
  </sheetViews>
  <sheetFormatPr defaultRowHeight="14.4" x14ac:dyDescent="0.3"/>
  <cols>
    <col min="1" max="1" width="6.88671875" customWidth="1"/>
    <col min="2" max="2" width="10.88671875" customWidth="1"/>
    <col min="3" max="3" width="18.77734375" customWidth="1"/>
    <col min="4" max="4" width="12.88671875" customWidth="1"/>
    <col min="5" max="5" width="11.44140625" customWidth="1"/>
    <col min="6" max="6" width="8.88671875" customWidth="1"/>
  </cols>
  <sheetData>
    <row r="1" spans="1:9" x14ac:dyDescent="0.3">
      <c r="A1" s="8" t="s">
        <v>633</v>
      </c>
    </row>
    <row r="2" spans="1:9" ht="28.8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620</v>
      </c>
      <c r="C3" s="10" t="s">
        <v>344</v>
      </c>
      <c r="D3" s="10" t="s">
        <v>44</v>
      </c>
      <c r="E3" s="10" t="s">
        <v>77</v>
      </c>
      <c r="F3" s="10">
        <v>6</v>
      </c>
      <c r="G3" s="10">
        <v>5800</v>
      </c>
      <c r="H3" s="10">
        <v>3600</v>
      </c>
      <c r="I3" s="10">
        <v>9400</v>
      </c>
    </row>
    <row r="4" spans="1:9" x14ac:dyDescent="0.3">
      <c r="A4" s="10">
        <v>2</v>
      </c>
      <c r="B4" s="10" t="s">
        <v>620</v>
      </c>
      <c r="C4" s="10" t="s">
        <v>44</v>
      </c>
      <c r="D4" s="10" t="s">
        <v>124</v>
      </c>
      <c r="E4" s="10" t="s">
        <v>94</v>
      </c>
      <c r="F4" s="10">
        <v>1</v>
      </c>
      <c r="G4" s="10">
        <v>3500</v>
      </c>
      <c r="H4" s="10">
        <v>600</v>
      </c>
      <c r="I4" s="10">
        <v>4100</v>
      </c>
    </row>
    <row r="5" spans="1:9" x14ac:dyDescent="0.3">
      <c r="A5" s="10">
        <v>3</v>
      </c>
      <c r="B5" s="10" t="s">
        <v>620</v>
      </c>
      <c r="C5" s="10" t="s">
        <v>71</v>
      </c>
      <c r="D5" s="10" t="s">
        <v>44</v>
      </c>
      <c r="E5" s="10" t="s">
        <v>282</v>
      </c>
      <c r="F5" s="10">
        <v>6</v>
      </c>
      <c r="G5" s="10">
        <v>7500</v>
      </c>
      <c r="H5" s="10">
        <v>3600</v>
      </c>
      <c r="I5" s="10">
        <v>11100</v>
      </c>
    </row>
    <row r="6" spans="1:9" x14ac:dyDescent="0.3">
      <c r="A6" s="10">
        <v>4</v>
      </c>
      <c r="B6" s="10" t="s">
        <v>620</v>
      </c>
      <c r="C6" s="10" t="s">
        <v>71</v>
      </c>
      <c r="D6" s="10" t="s">
        <v>44</v>
      </c>
      <c r="E6" s="10" t="s">
        <v>599</v>
      </c>
      <c r="F6" s="10">
        <v>6</v>
      </c>
      <c r="G6" s="10">
        <v>7500</v>
      </c>
      <c r="H6" s="10">
        <v>3600</v>
      </c>
      <c r="I6" s="10">
        <v>11100</v>
      </c>
    </row>
    <row r="7" spans="1:9" x14ac:dyDescent="0.3">
      <c r="A7" s="10">
        <v>5</v>
      </c>
      <c r="B7" s="10" t="s">
        <v>621</v>
      </c>
      <c r="C7" s="10" t="s">
        <v>631</v>
      </c>
      <c r="D7" s="10" t="s">
        <v>44</v>
      </c>
      <c r="E7" s="10" t="s">
        <v>60</v>
      </c>
      <c r="F7" s="10">
        <v>3</v>
      </c>
      <c r="G7" s="10">
        <v>3500</v>
      </c>
      <c r="H7" s="10">
        <v>600</v>
      </c>
      <c r="I7" s="10">
        <v>4100</v>
      </c>
    </row>
    <row r="8" spans="1:9" x14ac:dyDescent="0.3">
      <c r="A8" s="10">
        <v>6</v>
      </c>
      <c r="B8" s="10" t="s">
        <v>621</v>
      </c>
      <c r="C8" s="10" t="s">
        <v>357</v>
      </c>
      <c r="D8" s="10" t="s">
        <v>44</v>
      </c>
      <c r="E8" s="10" t="s">
        <v>599</v>
      </c>
      <c r="F8" s="10">
        <v>6</v>
      </c>
      <c r="G8" s="10">
        <v>7500</v>
      </c>
      <c r="H8" s="10">
        <v>3600</v>
      </c>
      <c r="I8" s="10">
        <v>11100</v>
      </c>
    </row>
    <row r="9" spans="1:9" x14ac:dyDescent="0.3">
      <c r="A9" s="10">
        <v>7</v>
      </c>
      <c r="B9" s="10" t="s">
        <v>622</v>
      </c>
      <c r="C9" s="10" t="s">
        <v>44</v>
      </c>
      <c r="D9" s="10" t="s">
        <v>124</v>
      </c>
      <c r="E9" s="10" t="s">
        <v>60</v>
      </c>
      <c r="F9" s="10">
        <v>3</v>
      </c>
      <c r="G9" s="10">
        <v>4900</v>
      </c>
      <c r="H9" s="10">
        <v>1200</v>
      </c>
      <c r="I9" s="10">
        <v>6100</v>
      </c>
    </row>
    <row r="10" spans="1:9" x14ac:dyDescent="0.3">
      <c r="A10" s="10">
        <v>8</v>
      </c>
      <c r="B10" s="10" t="s">
        <v>622</v>
      </c>
      <c r="C10" s="10" t="s">
        <v>71</v>
      </c>
      <c r="D10" s="10" t="s">
        <v>44</v>
      </c>
      <c r="E10" s="10" t="s">
        <v>599</v>
      </c>
      <c r="F10" s="10">
        <v>6</v>
      </c>
      <c r="G10" s="10">
        <v>7500</v>
      </c>
      <c r="H10" s="10">
        <v>3600</v>
      </c>
      <c r="I10" s="10">
        <v>11100</v>
      </c>
    </row>
    <row r="11" spans="1:9" x14ac:dyDescent="0.3">
      <c r="A11" s="10">
        <v>9</v>
      </c>
      <c r="B11" s="10" t="s">
        <v>623</v>
      </c>
      <c r="C11" s="10" t="s">
        <v>43</v>
      </c>
      <c r="D11" s="10" t="s">
        <v>44</v>
      </c>
      <c r="E11" s="10" t="s">
        <v>282</v>
      </c>
      <c r="F11" s="10">
        <v>6</v>
      </c>
      <c r="G11" s="10">
        <v>7500</v>
      </c>
      <c r="H11" s="10">
        <v>3600</v>
      </c>
      <c r="I11" s="10">
        <v>11100</v>
      </c>
    </row>
    <row r="12" spans="1:9" x14ac:dyDescent="0.3">
      <c r="A12" s="10">
        <v>10</v>
      </c>
      <c r="B12" s="10" t="s">
        <v>623</v>
      </c>
      <c r="C12" s="10" t="s">
        <v>71</v>
      </c>
      <c r="D12" s="10" t="s">
        <v>44</v>
      </c>
      <c r="E12" s="10" t="s">
        <v>632</v>
      </c>
      <c r="F12" s="10">
        <v>6</v>
      </c>
      <c r="G12" s="10">
        <v>7500</v>
      </c>
      <c r="H12" s="10">
        <v>3600</v>
      </c>
      <c r="I12" s="10">
        <v>11100</v>
      </c>
    </row>
    <row r="13" spans="1:9" x14ac:dyDescent="0.3">
      <c r="A13" s="10">
        <v>11</v>
      </c>
      <c r="B13" s="10" t="s">
        <v>623</v>
      </c>
      <c r="C13" s="10" t="s">
        <v>71</v>
      </c>
      <c r="D13" s="10" t="s">
        <v>44</v>
      </c>
      <c r="E13" s="10" t="s">
        <v>599</v>
      </c>
      <c r="F13" s="10">
        <v>6</v>
      </c>
      <c r="G13" s="10">
        <v>7500</v>
      </c>
      <c r="H13" s="10">
        <v>3600</v>
      </c>
      <c r="I13" s="10">
        <v>11100</v>
      </c>
    </row>
    <row r="14" spans="1:9" x14ac:dyDescent="0.3">
      <c r="A14" s="10">
        <v>12</v>
      </c>
      <c r="B14" s="10" t="s">
        <v>624</v>
      </c>
      <c r="C14" s="10" t="s">
        <v>44</v>
      </c>
      <c r="D14" s="10" t="s">
        <v>124</v>
      </c>
      <c r="E14" s="10" t="s">
        <v>282</v>
      </c>
      <c r="F14" s="10">
        <v>6</v>
      </c>
      <c r="G14" s="10">
        <v>5900</v>
      </c>
      <c r="H14" s="10">
        <v>3600</v>
      </c>
      <c r="I14" s="10">
        <v>9500</v>
      </c>
    </row>
    <row r="15" spans="1:9" x14ac:dyDescent="0.3">
      <c r="A15" s="10">
        <v>13</v>
      </c>
      <c r="B15" s="10" t="s">
        <v>624</v>
      </c>
      <c r="C15" s="10" t="s">
        <v>71</v>
      </c>
      <c r="D15" s="10" t="s">
        <v>44</v>
      </c>
      <c r="E15" s="10" t="s">
        <v>599</v>
      </c>
      <c r="F15" s="10">
        <v>3</v>
      </c>
      <c r="G15" s="10">
        <v>5200</v>
      </c>
      <c r="H15" s="10">
        <v>1800</v>
      </c>
      <c r="I15" s="10">
        <v>7000</v>
      </c>
    </row>
    <row r="16" spans="1:9" x14ac:dyDescent="0.3">
      <c r="A16" s="10">
        <v>14</v>
      </c>
      <c r="B16" s="10" t="s">
        <v>625</v>
      </c>
      <c r="C16" s="10" t="s">
        <v>357</v>
      </c>
      <c r="D16" s="10" t="s">
        <v>44</v>
      </c>
      <c r="E16" s="10" t="s">
        <v>599</v>
      </c>
      <c r="F16" s="10">
        <v>6</v>
      </c>
      <c r="G16" s="10">
        <v>7500</v>
      </c>
      <c r="H16" s="10">
        <v>3600</v>
      </c>
      <c r="I16" s="10">
        <v>11100</v>
      </c>
    </row>
    <row r="17" spans="1:9" x14ac:dyDescent="0.3">
      <c r="A17" s="10">
        <v>15</v>
      </c>
      <c r="B17" s="10" t="s">
        <v>625</v>
      </c>
      <c r="C17" s="10" t="s">
        <v>43</v>
      </c>
      <c r="D17" s="10" t="s">
        <v>44</v>
      </c>
      <c r="E17" s="10" t="s">
        <v>632</v>
      </c>
      <c r="F17" s="10">
        <v>6</v>
      </c>
      <c r="G17" s="10">
        <v>7500</v>
      </c>
      <c r="H17" s="10">
        <v>3600</v>
      </c>
      <c r="I17" s="10">
        <v>11100</v>
      </c>
    </row>
    <row r="18" spans="1:9" x14ac:dyDescent="0.3">
      <c r="A18" s="10">
        <v>16</v>
      </c>
      <c r="B18" s="10" t="s">
        <v>626</v>
      </c>
      <c r="C18" s="10" t="s">
        <v>44</v>
      </c>
      <c r="D18" s="10" t="s">
        <v>124</v>
      </c>
      <c r="E18" s="10" t="s">
        <v>60</v>
      </c>
      <c r="F18" s="10">
        <v>3</v>
      </c>
      <c r="G18" s="10">
        <v>5000</v>
      </c>
      <c r="H18" s="10">
        <v>1200</v>
      </c>
      <c r="I18" s="10">
        <v>6200</v>
      </c>
    </row>
    <row r="19" spans="1:9" x14ac:dyDescent="0.3">
      <c r="A19" s="10">
        <v>17</v>
      </c>
      <c r="B19" s="10" t="s">
        <v>626</v>
      </c>
      <c r="C19" s="10" t="s">
        <v>357</v>
      </c>
      <c r="D19" s="10" t="s">
        <v>44</v>
      </c>
      <c r="E19" s="10" t="s">
        <v>599</v>
      </c>
      <c r="F19" s="10">
        <v>6</v>
      </c>
      <c r="G19" s="10">
        <v>7500</v>
      </c>
      <c r="H19" s="10">
        <v>3600</v>
      </c>
      <c r="I19" s="10">
        <v>11100</v>
      </c>
    </row>
    <row r="20" spans="1:9" x14ac:dyDescent="0.3">
      <c r="A20" s="10">
        <v>18</v>
      </c>
      <c r="B20" s="10" t="s">
        <v>627</v>
      </c>
      <c r="C20" s="10" t="s">
        <v>344</v>
      </c>
      <c r="D20" s="10" t="s">
        <v>65</v>
      </c>
      <c r="E20" s="10" t="s">
        <v>60</v>
      </c>
      <c r="F20" s="10">
        <v>3</v>
      </c>
      <c r="G20" s="10">
        <v>5000</v>
      </c>
      <c r="H20" s="10">
        <v>1200</v>
      </c>
      <c r="I20" s="10">
        <v>6200</v>
      </c>
    </row>
    <row r="21" spans="1:9" x14ac:dyDescent="0.3">
      <c r="A21" s="10">
        <v>19</v>
      </c>
      <c r="B21" s="10" t="s">
        <v>627</v>
      </c>
      <c r="C21" s="10" t="s">
        <v>44</v>
      </c>
      <c r="D21" s="10" t="s">
        <v>65</v>
      </c>
      <c r="E21" s="10" t="s">
        <v>94</v>
      </c>
      <c r="F21" s="10">
        <v>1</v>
      </c>
      <c r="G21" s="10">
        <v>3500</v>
      </c>
      <c r="H21" s="10">
        <v>600</v>
      </c>
      <c r="I21" s="10">
        <v>4100</v>
      </c>
    </row>
    <row r="22" spans="1:9" x14ac:dyDescent="0.3">
      <c r="A22" s="10">
        <v>20</v>
      </c>
      <c r="B22" s="10" t="s">
        <v>627</v>
      </c>
      <c r="C22" s="10" t="s">
        <v>44</v>
      </c>
      <c r="D22" s="10" t="s">
        <v>124</v>
      </c>
      <c r="E22" s="10" t="s">
        <v>599</v>
      </c>
      <c r="F22" s="10">
        <v>6</v>
      </c>
      <c r="G22" s="10">
        <v>5900</v>
      </c>
      <c r="H22" s="10">
        <v>3600</v>
      </c>
      <c r="I22" s="10">
        <v>9500</v>
      </c>
    </row>
    <row r="23" spans="1:9" x14ac:dyDescent="0.3">
      <c r="A23" s="10">
        <v>21</v>
      </c>
      <c r="B23" s="10" t="s">
        <v>627</v>
      </c>
      <c r="C23" s="10" t="s">
        <v>44</v>
      </c>
      <c r="D23" s="10" t="s">
        <v>124</v>
      </c>
      <c r="E23" s="10" t="s">
        <v>632</v>
      </c>
      <c r="F23" s="10">
        <v>6</v>
      </c>
      <c r="G23" s="10">
        <v>5900</v>
      </c>
      <c r="H23" s="10">
        <v>3600</v>
      </c>
      <c r="I23" s="10">
        <v>9500</v>
      </c>
    </row>
    <row r="24" spans="1:9" x14ac:dyDescent="0.3">
      <c r="A24" s="10">
        <v>22</v>
      </c>
      <c r="B24" s="10" t="s">
        <v>627</v>
      </c>
      <c r="C24" s="10" t="s">
        <v>357</v>
      </c>
      <c r="D24" s="10" t="s">
        <v>44</v>
      </c>
      <c r="E24" s="10" t="s">
        <v>599</v>
      </c>
      <c r="F24" s="10">
        <v>6</v>
      </c>
      <c r="G24" s="10">
        <v>7500</v>
      </c>
      <c r="H24" s="10">
        <v>3600</v>
      </c>
      <c r="I24" s="10">
        <v>11100</v>
      </c>
    </row>
    <row r="25" spans="1:9" x14ac:dyDescent="0.3">
      <c r="A25" s="10">
        <v>23</v>
      </c>
      <c r="B25" s="10" t="s">
        <v>627</v>
      </c>
      <c r="C25" s="10" t="s">
        <v>71</v>
      </c>
      <c r="D25" s="10" t="s">
        <v>44</v>
      </c>
      <c r="E25" s="10" t="s">
        <v>632</v>
      </c>
      <c r="F25" s="10">
        <v>6</v>
      </c>
      <c r="G25" s="10">
        <v>7500</v>
      </c>
      <c r="H25" s="10">
        <v>3600</v>
      </c>
      <c r="I25" s="10">
        <v>11100</v>
      </c>
    </row>
    <row r="26" spans="1:9" x14ac:dyDescent="0.3">
      <c r="A26" s="10">
        <v>24</v>
      </c>
      <c r="B26" s="10" t="s">
        <v>628</v>
      </c>
      <c r="C26" s="10" t="s">
        <v>585</v>
      </c>
      <c r="D26" s="10" t="s">
        <v>44</v>
      </c>
      <c r="E26" s="10" t="s">
        <v>60</v>
      </c>
      <c r="F26" s="10">
        <v>1</v>
      </c>
      <c r="G26" s="10">
        <v>3500</v>
      </c>
      <c r="H26" s="10">
        <v>600</v>
      </c>
      <c r="I26" s="10">
        <v>4100</v>
      </c>
    </row>
    <row r="27" spans="1:9" x14ac:dyDescent="0.3">
      <c r="A27" s="10">
        <v>25</v>
      </c>
      <c r="B27" s="10" t="s">
        <v>628</v>
      </c>
      <c r="C27" s="10" t="s">
        <v>71</v>
      </c>
      <c r="D27" s="10" t="s">
        <v>44</v>
      </c>
      <c r="E27" s="10" t="s">
        <v>632</v>
      </c>
      <c r="F27" s="10">
        <v>6</v>
      </c>
      <c r="G27" s="10">
        <v>7500</v>
      </c>
      <c r="H27" s="10">
        <v>3600</v>
      </c>
      <c r="I27" s="10">
        <v>11100</v>
      </c>
    </row>
    <row r="28" spans="1:9" x14ac:dyDescent="0.3">
      <c r="A28" s="10">
        <v>26</v>
      </c>
      <c r="B28" s="10" t="s">
        <v>629</v>
      </c>
      <c r="C28" s="10" t="s">
        <v>43</v>
      </c>
      <c r="D28" s="10" t="s">
        <v>44</v>
      </c>
      <c r="E28" s="10" t="s">
        <v>599</v>
      </c>
      <c r="F28" s="10">
        <v>6</v>
      </c>
      <c r="G28" s="10">
        <v>7500</v>
      </c>
      <c r="H28" s="10">
        <v>3600</v>
      </c>
      <c r="I28" s="10">
        <v>11100</v>
      </c>
    </row>
    <row r="29" spans="1:9" x14ac:dyDescent="0.3">
      <c r="A29" s="10">
        <v>27</v>
      </c>
      <c r="B29" s="10" t="s">
        <v>629</v>
      </c>
      <c r="C29" s="10" t="s">
        <v>71</v>
      </c>
      <c r="D29" s="10" t="s">
        <v>44</v>
      </c>
      <c r="E29" s="10" t="s">
        <v>632</v>
      </c>
      <c r="F29" s="10">
        <v>6</v>
      </c>
      <c r="G29" s="10">
        <v>7500</v>
      </c>
      <c r="H29" s="10">
        <v>3600</v>
      </c>
      <c r="I29" s="10">
        <v>11100</v>
      </c>
    </row>
    <row r="30" spans="1:9" x14ac:dyDescent="0.3">
      <c r="A30" s="10">
        <v>28</v>
      </c>
      <c r="B30" s="10" t="s">
        <v>630</v>
      </c>
      <c r="C30" s="10" t="s">
        <v>71</v>
      </c>
      <c r="D30" s="10" t="s">
        <v>44</v>
      </c>
      <c r="E30" s="10" t="s">
        <v>66</v>
      </c>
      <c r="F30" s="10">
        <v>1</v>
      </c>
      <c r="G30" s="10">
        <v>4000</v>
      </c>
      <c r="H30" s="10">
        <v>600</v>
      </c>
      <c r="I30" s="10">
        <v>4600</v>
      </c>
    </row>
    <row r="31" spans="1:9" x14ac:dyDescent="0.3">
      <c r="A31" s="10">
        <v>29</v>
      </c>
      <c r="B31" s="10" t="s">
        <v>630</v>
      </c>
      <c r="C31" s="10" t="s">
        <v>71</v>
      </c>
      <c r="D31" s="10" t="s">
        <v>44</v>
      </c>
      <c r="E31" s="10" t="s">
        <v>599</v>
      </c>
      <c r="F31" s="10">
        <v>6</v>
      </c>
      <c r="G31" s="10">
        <v>7500</v>
      </c>
      <c r="H31" s="10">
        <v>3600</v>
      </c>
      <c r="I31" s="10">
        <v>11100</v>
      </c>
    </row>
    <row r="32" spans="1:9" x14ac:dyDescent="0.3">
      <c r="A32" s="10">
        <v>30</v>
      </c>
      <c r="B32" s="10" t="s">
        <v>630</v>
      </c>
      <c r="C32" s="10" t="s">
        <v>71</v>
      </c>
      <c r="D32" s="10" t="s">
        <v>44</v>
      </c>
      <c r="E32" s="10" t="s">
        <v>632</v>
      </c>
      <c r="F32" s="10">
        <v>6</v>
      </c>
      <c r="G32" s="10">
        <v>7500</v>
      </c>
      <c r="H32" s="10">
        <v>3600</v>
      </c>
      <c r="I32" s="10">
        <v>11100</v>
      </c>
    </row>
    <row r="33" spans="1:9" x14ac:dyDescent="0.3">
      <c r="F33" s="9" t="s">
        <v>41</v>
      </c>
      <c r="G33" s="10">
        <f>SUM(G3:G32)</f>
        <v>189100</v>
      </c>
      <c r="H33" s="10">
        <f>SUM(H3:H32)</f>
        <v>84000</v>
      </c>
      <c r="I33" s="10">
        <f>SUM(I3:I32)</f>
        <v>273100</v>
      </c>
    </row>
    <row r="38" spans="1:9" x14ac:dyDescent="0.3">
      <c r="A38" s="9" t="s">
        <v>650</v>
      </c>
      <c r="B38" s="10"/>
      <c r="C38" s="10"/>
      <c r="D38" s="10"/>
      <c r="E38" s="10"/>
      <c r="F38" s="10"/>
      <c r="G38" s="10"/>
      <c r="H38" s="10"/>
      <c r="I38" s="10"/>
    </row>
    <row r="39" spans="1:9" ht="28.8" x14ac:dyDescent="0.3">
      <c r="A39" s="26" t="s">
        <v>25</v>
      </c>
      <c r="B39" s="26" t="s">
        <v>26</v>
      </c>
      <c r="C39" s="26" t="s">
        <v>27</v>
      </c>
      <c r="D39" s="26" t="s">
        <v>28</v>
      </c>
      <c r="E39" s="26" t="s">
        <v>30</v>
      </c>
      <c r="F39" s="27" t="s">
        <v>34</v>
      </c>
      <c r="G39" s="26" t="s">
        <v>35</v>
      </c>
      <c r="H39" s="26" t="s">
        <v>36</v>
      </c>
      <c r="I39" s="27" t="s">
        <v>37</v>
      </c>
    </row>
    <row r="40" spans="1:9" x14ac:dyDescent="0.3">
      <c r="A40" s="10">
        <v>1</v>
      </c>
      <c r="B40" s="10" t="s">
        <v>637</v>
      </c>
      <c r="C40" s="10" t="s">
        <v>43</v>
      </c>
      <c r="D40" s="10" t="s">
        <v>44</v>
      </c>
      <c r="E40" s="10" t="s">
        <v>282</v>
      </c>
      <c r="F40" s="10">
        <v>6</v>
      </c>
      <c r="G40" s="10">
        <v>7500</v>
      </c>
      <c r="H40" s="10">
        <v>3600</v>
      </c>
      <c r="I40" s="10">
        <v>11100</v>
      </c>
    </row>
    <row r="41" spans="1:9" x14ac:dyDescent="0.3">
      <c r="A41" s="10">
        <v>2</v>
      </c>
      <c r="B41" s="10" t="s">
        <v>637</v>
      </c>
      <c r="C41" s="10" t="s">
        <v>344</v>
      </c>
      <c r="D41" s="10" t="s">
        <v>44</v>
      </c>
      <c r="E41" s="10" t="s">
        <v>599</v>
      </c>
      <c r="F41" s="10">
        <v>6</v>
      </c>
      <c r="G41" s="10">
        <v>9000</v>
      </c>
      <c r="H41" s="10">
        <v>3600</v>
      </c>
      <c r="I41" s="10">
        <v>12600</v>
      </c>
    </row>
    <row r="42" spans="1:9" x14ac:dyDescent="0.3">
      <c r="A42" s="10">
        <v>3</v>
      </c>
      <c r="B42" s="10" t="s">
        <v>637</v>
      </c>
      <c r="C42" s="10" t="s">
        <v>344</v>
      </c>
      <c r="D42" s="10" t="s">
        <v>44</v>
      </c>
      <c r="E42" s="10" t="s">
        <v>632</v>
      </c>
      <c r="F42" s="10">
        <v>6</v>
      </c>
      <c r="G42" s="10">
        <v>9000</v>
      </c>
      <c r="H42" s="10">
        <v>3600</v>
      </c>
      <c r="I42" s="10">
        <v>12600</v>
      </c>
    </row>
    <row r="43" spans="1:9" x14ac:dyDescent="0.3">
      <c r="A43" s="10">
        <v>4</v>
      </c>
      <c r="B43" s="10" t="s">
        <v>638</v>
      </c>
      <c r="C43" s="10" t="s">
        <v>44</v>
      </c>
      <c r="D43" s="10" t="s">
        <v>124</v>
      </c>
      <c r="E43" s="10" t="s">
        <v>94</v>
      </c>
      <c r="F43" s="10">
        <v>1</v>
      </c>
      <c r="G43" s="10">
        <v>3500</v>
      </c>
      <c r="H43" s="10">
        <v>600</v>
      </c>
      <c r="I43" s="10">
        <v>4100</v>
      </c>
    </row>
    <row r="44" spans="1:9" x14ac:dyDescent="0.3">
      <c r="A44" s="10">
        <v>5</v>
      </c>
      <c r="B44" s="10" t="s">
        <v>638</v>
      </c>
      <c r="C44" s="10" t="s">
        <v>71</v>
      </c>
      <c r="D44" s="10" t="s">
        <v>44</v>
      </c>
      <c r="E44" s="10" t="s">
        <v>282</v>
      </c>
      <c r="F44" s="10">
        <v>6</v>
      </c>
      <c r="G44" s="10">
        <v>7500</v>
      </c>
      <c r="H44" s="10">
        <v>3600</v>
      </c>
      <c r="I44" s="10">
        <v>11100</v>
      </c>
    </row>
    <row r="45" spans="1:9" x14ac:dyDescent="0.3">
      <c r="A45" s="10">
        <v>6</v>
      </c>
      <c r="B45" s="10" t="s">
        <v>651</v>
      </c>
      <c r="C45" s="10" t="s">
        <v>71</v>
      </c>
      <c r="D45" s="10" t="s">
        <v>44</v>
      </c>
      <c r="E45" s="10" t="s">
        <v>282</v>
      </c>
      <c r="F45" s="10" t="s">
        <v>652</v>
      </c>
      <c r="G45" s="10">
        <v>700</v>
      </c>
      <c r="H45" s="10"/>
      <c r="I45" s="10">
        <v>700</v>
      </c>
    </row>
    <row r="46" spans="1:9" x14ac:dyDescent="0.3">
      <c r="A46" s="10">
        <v>7</v>
      </c>
      <c r="B46" s="10" t="s">
        <v>638</v>
      </c>
      <c r="C46" s="10" t="s">
        <v>44</v>
      </c>
      <c r="D46" s="10" t="s">
        <v>639</v>
      </c>
      <c r="E46" s="10" t="s">
        <v>599</v>
      </c>
      <c r="F46" s="10">
        <v>6</v>
      </c>
      <c r="G46" s="10">
        <v>9000</v>
      </c>
      <c r="H46" s="10">
        <v>3600</v>
      </c>
      <c r="I46" s="10">
        <v>12600</v>
      </c>
    </row>
    <row r="47" spans="1:9" x14ac:dyDescent="0.3">
      <c r="A47" s="10">
        <v>8</v>
      </c>
      <c r="B47" s="10" t="s">
        <v>638</v>
      </c>
      <c r="C47" s="10" t="s">
        <v>44</v>
      </c>
      <c r="D47" s="10" t="s">
        <v>639</v>
      </c>
      <c r="E47" s="10" t="s">
        <v>599</v>
      </c>
      <c r="F47" s="10" t="s">
        <v>652</v>
      </c>
      <c r="G47" s="10">
        <v>700</v>
      </c>
      <c r="H47" s="10"/>
      <c r="I47" s="10">
        <v>700</v>
      </c>
    </row>
    <row r="48" spans="1:9" x14ac:dyDescent="0.3">
      <c r="A48" s="10">
        <v>9</v>
      </c>
      <c r="B48" s="10" t="s">
        <v>638</v>
      </c>
      <c r="C48" s="10" t="s">
        <v>44</v>
      </c>
      <c r="D48" s="10" t="s">
        <v>639</v>
      </c>
      <c r="E48" s="10" t="s">
        <v>632</v>
      </c>
      <c r="F48" s="10">
        <v>6</v>
      </c>
      <c r="G48" s="10">
        <v>9000</v>
      </c>
      <c r="H48" s="10">
        <v>3600</v>
      </c>
      <c r="I48" s="10">
        <v>12600</v>
      </c>
    </row>
    <row r="49" spans="1:9" x14ac:dyDescent="0.3">
      <c r="A49" s="10">
        <v>10</v>
      </c>
      <c r="B49" s="10" t="s">
        <v>640</v>
      </c>
      <c r="C49" s="10" t="s">
        <v>44</v>
      </c>
      <c r="D49" s="10" t="s">
        <v>518</v>
      </c>
      <c r="E49" s="10" t="s">
        <v>599</v>
      </c>
      <c r="F49" s="10">
        <v>7.5</v>
      </c>
      <c r="G49" s="10">
        <v>9500</v>
      </c>
      <c r="H49" s="10">
        <v>3600</v>
      </c>
      <c r="I49" s="10">
        <v>13100</v>
      </c>
    </row>
    <row r="50" spans="1:9" x14ac:dyDescent="0.3">
      <c r="A50" s="10">
        <v>11</v>
      </c>
      <c r="B50" s="10" t="s">
        <v>640</v>
      </c>
      <c r="C50" s="10" t="s">
        <v>44</v>
      </c>
      <c r="D50" s="10" t="s">
        <v>518</v>
      </c>
      <c r="E50" s="10" t="s">
        <v>632</v>
      </c>
      <c r="F50" s="10">
        <v>7.5</v>
      </c>
      <c r="G50" s="10">
        <v>9500</v>
      </c>
      <c r="H50" s="10">
        <v>3600</v>
      </c>
      <c r="I50" s="10">
        <v>13100</v>
      </c>
    </row>
    <row r="51" spans="1:9" x14ac:dyDescent="0.3">
      <c r="A51" s="10">
        <v>12</v>
      </c>
      <c r="B51" s="10" t="s">
        <v>641</v>
      </c>
      <c r="C51" s="10" t="s">
        <v>357</v>
      </c>
      <c r="D51" s="10" t="s">
        <v>44</v>
      </c>
      <c r="E51" s="10" t="s">
        <v>599</v>
      </c>
      <c r="F51" s="10">
        <v>6</v>
      </c>
      <c r="G51" s="10">
        <v>7500</v>
      </c>
      <c r="H51" s="10">
        <v>3600</v>
      </c>
      <c r="I51" s="10">
        <v>11100</v>
      </c>
    </row>
    <row r="52" spans="1:9" x14ac:dyDescent="0.3">
      <c r="A52" s="10">
        <v>13</v>
      </c>
      <c r="B52" s="10" t="s">
        <v>641</v>
      </c>
      <c r="C52" s="10" t="s">
        <v>357</v>
      </c>
      <c r="D52" s="10" t="s">
        <v>44</v>
      </c>
      <c r="E52" s="10" t="s">
        <v>632</v>
      </c>
      <c r="F52" s="10">
        <v>6</v>
      </c>
      <c r="G52" s="10">
        <v>7500</v>
      </c>
      <c r="H52" s="10">
        <v>3600</v>
      </c>
      <c r="I52" s="10">
        <v>11100</v>
      </c>
    </row>
    <row r="53" spans="1:9" x14ac:dyDescent="0.3">
      <c r="A53" s="10">
        <v>14</v>
      </c>
      <c r="B53" s="10" t="s">
        <v>641</v>
      </c>
      <c r="C53" s="10" t="s">
        <v>71</v>
      </c>
      <c r="D53" s="10" t="s">
        <v>44</v>
      </c>
      <c r="E53" s="10" t="s">
        <v>282</v>
      </c>
      <c r="F53" s="10">
        <v>6</v>
      </c>
      <c r="G53" s="10">
        <v>7500</v>
      </c>
      <c r="H53" s="10">
        <v>3600</v>
      </c>
      <c r="I53" s="10">
        <v>11100</v>
      </c>
    </row>
    <row r="54" spans="1:9" x14ac:dyDescent="0.3">
      <c r="A54" s="10">
        <v>15</v>
      </c>
      <c r="B54" s="10" t="s">
        <v>642</v>
      </c>
      <c r="C54" s="10" t="s">
        <v>576</v>
      </c>
      <c r="D54" s="10" t="s">
        <v>44</v>
      </c>
      <c r="E54" s="10" t="s">
        <v>60</v>
      </c>
      <c r="F54" s="10">
        <v>1</v>
      </c>
      <c r="G54" s="10">
        <v>3500</v>
      </c>
      <c r="H54" s="10">
        <v>600</v>
      </c>
      <c r="I54" s="10">
        <v>4100</v>
      </c>
    </row>
    <row r="55" spans="1:9" x14ac:dyDescent="0.3">
      <c r="A55" s="10">
        <v>16</v>
      </c>
      <c r="B55" s="10" t="s">
        <v>642</v>
      </c>
      <c r="C55" s="10" t="s">
        <v>44</v>
      </c>
      <c r="D55" s="10" t="s">
        <v>124</v>
      </c>
      <c r="E55" s="10" t="s">
        <v>66</v>
      </c>
      <c r="F55" s="10">
        <v>3</v>
      </c>
      <c r="G55" s="10">
        <v>5000</v>
      </c>
      <c r="H55" s="10">
        <v>1200</v>
      </c>
      <c r="I55" s="10">
        <v>6200</v>
      </c>
    </row>
    <row r="56" spans="1:9" x14ac:dyDescent="0.3">
      <c r="A56" s="10">
        <v>17</v>
      </c>
      <c r="B56" s="10" t="s">
        <v>642</v>
      </c>
      <c r="C56" s="10" t="s">
        <v>43</v>
      </c>
      <c r="D56" s="10" t="s">
        <v>44</v>
      </c>
      <c r="E56" s="10" t="s">
        <v>632</v>
      </c>
      <c r="F56" s="10">
        <v>4</v>
      </c>
      <c r="G56" s="10">
        <v>7500</v>
      </c>
      <c r="H56" s="10">
        <v>2400</v>
      </c>
      <c r="I56" s="10">
        <v>9900</v>
      </c>
    </row>
    <row r="57" spans="1:9" x14ac:dyDescent="0.3">
      <c r="A57" s="10">
        <v>18</v>
      </c>
      <c r="B57" s="10" t="s">
        <v>642</v>
      </c>
      <c r="C57" s="10" t="s">
        <v>357</v>
      </c>
      <c r="D57" s="10" t="s">
        <v>44</v>
      </c>
      <c r="E57" s="10" t="s">
        <v>599</v>
      </c>
      <c r="F57" s="10">
        <v>6</v>
      </c>
      <c r="G57" s="10">
        <v>7500</v>
      </c>
      <c r="H57" s="10">
        <v>3600</v>
      </c>
      <c r="I57" s="10">
        <v>11100</v>
      </c>
    </row>
    <row r="58" spans="1:9" x14ac:dyDescent="0.3">
      <c r="A58" s="10">
        <v>19</v>
      </c>
      <c r="B58" s="10" t="s">
        <v>643</v>
      </c>
      <c r="C58" s="10" t="s">
        <v>43</v>
      </c>
      <c r="D58" s="10" t="s">
        <v>44</v>
      </c>
      <c r="E58" s="10" t="s">
        <v>632</v>
      </c>
      <c r="F58" s="10">
        <v>6</v>
      </c>
      <c r="G58" s="10">
        <v>7500</v>
      </c>
      <c r="H58" s="10">
        <v>3600</v>
      </c>
      <c r="I58" s="10">
        <v>11100</v>
      </c>
    </row>
    <row r="59" spans="1:9" x14ac:dyDescent="0.3">
      <c r="A59" s="10">
        <v>20</v>
      </c>
      <c r="B59" s="10" t="s">
        <v>643</v>
      </c>
      <c r="C59" s="10" t="s">
        <v>357</v>
      </c>
      <c r="D59" s="10" t="s">
        <v>44</v>
      </c>
      <c r="E59" s="10" t="s">
        <v>599</v>
      </c>
      <c r="F59" s="10">
        <v>6</v>
      </c>
      <c r="G59" s="10">
        <v>7500</v>
      </c>
      <c r="H59" s="10">
        <v>3600</v>
      </c>
      <c r="I59" s="10">
        <v>11100</v>
      </c>
    </row>
    <row r="60" spans="1:9" x14ac:dyDescent="0.3">
      <c r="A60" s="10">
        <v>21</v>
      </c>
      <c r="B60" s="10" t="s">
        <v>644</v>
      </c>
      <c r="C60" s="10" t="s">
        <v>71</v>
      </c>
      <c r="D60" s="10" t="s">
        <v>44</v>
      </c>
      <c r="E60" s="10" t="s">
        <v>632</v>
      </c>
      <c r="F60" s="10">
        <v>6</v>
      </c>
      <c r="G60" s="10">
        <v>7500</v>
      </c>
      <c r="H60" s="10">
        <v>3600</v>
      </c>
      <c r="I60" s="10">
        <v>11100</v>
      </c>
    </row>
    <row r="61" spans="1:9" x14ac:dyDescent="0.3">
      <c r="A61" s="10">
        <v>23</v>
      </c>
      <c r="B61" s="10" t="s">
        <v>645</v>
      </c>
      <c r="C61" s="10" t="s">
        <v>44</v>
      </c>
      <c r="D61" s="10" t="s">
        <v>43</v>
      </c>
      <c r="E61" s="10" t="s">
        <v>77</v>
      </c>
      <c r="F61" s="10">
        <v>6</v>
      </c>
      <c r="G61" s="10">
        <v>7500</v>
      </c>
      <c r="H61" s="10">
        <v>2400</v>
      </c>
      <c r="I61" s="10">
        <v>9900</v>
      </c>
    </row>
    <row r="62" spans="1:9" x14ac:dyDescent="0.3">
      <c r="A62" s="10">
        <v>24</v>
      </c>
      <c r="B62" s="10" t="s">
        <v>645</v>
      </c>
      <c r="C62" s="10" t="s">
        <v>357</v>
      </c>
      <c r="D62" s="10" t="s">
        <v>44</v>
      </c>
      <c r="E62" s="10" t="s">
        <v>632</v>
      </c>
      <c r="F62" s="10">
        <v>6</v>
      </c>
      <c r="G62" s="10">
        <v>7500</v>
      </c>
      <c r="H62" s="10">
        <v>3600</v>
      </c>
      <c r="I62" s="10">
        <v>11100</v>
      </c>
    </row>
    <row r="63" spans="1:9" x14ac:dyDescent="0.3">
      <c r="A63" s="10">
        <v>22</v>
      </c>
      <c r="B63" s="100">
        <f>DATE(2026, 7, 28)</f>
        <v>46231</v>
      </c>
      <c r="C63" s="10" t="s">
        <v>44</v>
      </c>
      <c r="D63" s="10" t="s">
        <v>124</v>
      </c>
      <c r="E63" s="10" t="s">
        <v>632</v>
      </c>
      <c r="F63" s="10">
        <v>6</v>
      </c>
      <c r="G63" s="10">
        <v>5900</v>
      </c>
      <c r="H63" s="10">
        <v>3600</v>
      </c>
      <c r="I63" s="10">
        <v>9500</v>
      </c>
    </row>
    <row r="64" spans="1:9" x14ac:dyDescent="0.3">
      <c r="A64" s="10">
        <v>25</v>
      </c>
      <c r="B64" s="10" t="s">
        <v>646</v>
      </c>
      <c r="C64" s="10" t="s">
        <v>44</v>
      </c>
      <c r="D64" s="10" t="s">
        <v>124</v>
      </c>
      <c r="E64" s="10" t="s">
        <v>599</v>
      </c>
      <c r="F64" s="10">
        <v>6</v>
      </c>
      <c r="G64" s="10">
        <v>5900</v>
      </c>
      <c r="H64" s="10">
        <v>3600</v>
      </c>
      <c r="I64" s="10">
        <v>9500</v>
      </c>
    </row>
    <row r="65" spans="1:9" x14ac:dyDescent="0.3">
      <c r="A65" s="10">
        <v>26</v>
      </c>
      <c r="B65" s="10" t="s">
        <v>646</v>
      </c>
      <c r="C65" s="10" t="s">
        <v>44</v>
      </c>
      <c r="D65" s="10" t="s">
        <v>124</v>
      </c>
      <c r="E65" s="10" t="s">
        <v>632</v>
      </c>
      <c r="F65" s="10">
        <v>6</v>
      </c>
      <c r="G65" s="10">
        <v>5900</v>
      </c>
      <c r="H65" s="10">
        <v>3600</v>
      </c>
      <c r="I65" s="10">
        <v>9500</v>
      </c>
    </row>
    <row r="66" spans="1:9" x14ac:dyDescent="0.3">
      <c r="A66" s="10">
        <v>27</v>
      </c>
      <c r="B66" s="10" t="s">
        <v>646</v>
      </c>
      <c r="C66" s="10" t="s">
        <v>43</v>
      </c>
      <c r="D66" s="10" t="s">
        <v>44</v>
      </c>
      <c r="E66" s="10" t="s">
        <v>599</v>
      </c>
      <c r="F66" s="10">
        <v>6</v>
      </c>
      <c r="G66" s="10">
        <v>7500</v>
      </c>
      <c r="H66" s="10">
        <v>3600</v>
      </c>
      <c r="I66" s="10">
        <v>11100</v>
      </c>
    </row>
    <row r="67" spans="1:9" x14ac:dyDescent="0.3">
      <c r="A67" s="10">
        <v>28</v>
      </c>
      <c r="B67" s="10" t="s">
        <v>646</v>
      </c>
      <c r="C67" s="10" t="s">
        <v>71</v>
      </c>
      <c r="D67" s="10" t="s">
        <v>44</v>
      </c>
      <c r="E67" s="10" t="s">
        <v>599</v>
      </c>
      <c r="F67" s="10">
        <v>6</v>
      </c>
      <c r="G67" s="10">
        <v>7500</v>
      </c>
      <c r="H67" s="10">
        <v>3600</v>
      </c>
      <c r="I67" s="10">
        <v>11100</v>
      </c>
    </row>
    <row r="68" spans="1:9" x14ac:dyDescent="0.3">
      <c r="A68" s="10">
        <v>29</v>
      </c>
      <c r="B68" s="10" t="s">
        <v>647</v>
      </c>
      <c r="C68" s="10" t="s">
        <v>44</v>
      </c>
      <c r="D68" s="10" t="s">
        <v>124</v>
      </c>
      <c r="E68" s="10" t="s">
        <v>94</v>
      </c>
      <c r="F68" s="10">
        <v>1</v>
      </c>
      <c r="G68" s="10">
        <v>3500</v>
      </c>
      <c r="H68" s="10">
        <v>600</v>
      </c>
      <c r="I68" s="10">
        <v>4100</v>
      </c>
    </row>
    <row r="69" spans="1:9" x14ac:dyDescent="0.3">
      <c r="A69" s="10">
        <v>30</v>
      </c>
      <c r="B69" s="10" t="s">
        <v>647</v>
      </c>
      <c r="C69" s="10" t="s">
        <v>43</v>
      </c>
      <c r="D69" s="10" t="s">
        <v>44</v>
      </c>
      <c r="E69" s="10" t="s">
        <v>632</v>
      </c>
      <c r="F69" s="10">
        <v>3</v>
      </c>
      <c r="G69" s="10">
        <v>6000</v>
      </c>
      <c r="H69" s="10">
        <v>2400</v>
      </c>
      <c r="I69" s="10">
        <v>8400</v>
      </c>
    </row>
    <row r="70" spans="1:9" x14ac:dyDescent="0.3">
      <c r="A70" s="10">
        <v>31</v>
      </c>
      <c r="B70" s="10" t="s">
        <v>647</v>
      </c>
      <c r="C70" s="10" t="s">
        <v>71</v>
      </c>
      <c r="D70" s="10" t="s">
        <v>44</v>
      </c>
      <c r="E70" s="10" t="s">
        <v>599</v>
      </c>
      <c r="F70" s="10">
        <v>6</v>
      </c>
      <c r="G70" s="10">
        <v>7500</v>
      </c>
      <c r="H70" s="10">
        <v>3600</v>
      </c>
      <c r="I70" s="10">
        <v>11100</v>
      </c>
    </row>
    <row r="71" spans="1:9" x14ac:dyDescent="0.3">
      <c r="B71" t="s">
        <v>561</v>
      </c>
      <c r="C71" t="s">
        <v>561</v>
      </c>
      <c r="D71" t="s">
        <v>561</v>
      </c>
      <c r="E71" t="s">
        <v>561</v>
      </c>
      <c r="F71" s="10" t="s">
        <v>586</v>
      </c>
      <c r="G71" s="10">
        <f>SUM(G40:G70)</f>
        <v>208100</v>
      </c>
      <c r="H71" s="10">
        <v>89400</v>
      </c>
      <c r="I71" s="10">
        <f>SUM(I40:I70)</f>
        <v>297500</v>
      </c>
    </row>
  </sheetData>
  <phoneticPr fontId="11" type="noConversion"/>
  <pageMargins left="0.25" right="0.25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CA28-CCF0-4972-9172-63BEB5C64109}">
  <dimension ref="A1:I54"/>
  <sheetViews>
    <sheetView workbookViewId="0">
      <selection activeCell="P14" sqref="P14"/>
    </sheetView>
  </sheetViews>
  <sheetFormatPr defaultRowHeight="14.4" x14ac:dyDescent="0.3"/>
  <cols>
    <col min="2" max="2" width="12.33203125" customWidth="1"/>
    <col min="3" max="3" width="22.5546875" customWidth="1"/>
    <col min="4" max="4" width="15.109375" customWidth="1"/>
    <col min="5" max="5" width="12.6640625" customWidth="1"/>
  </cols>
  <sheetData>
    <row r="1" spans="1:9" x14ac:dyDescent="0.3">
      <c r="A1" s="9" t="s">
        <v>654</v>
      </c>
      <c r="B1" s="10"/>
      <c r="C1" s="10"/>
      <c r="D1" s="10"/>
      <c r="E1" s="10"/>
      <c r="F1" s="10"/>
      <c r="G1" s="10"/>
      <c r="H1" s="10"/>
      <c r="I1" s="10"/>
    </row>
    <row r="2" spans="1:9" ht="28.8" x14ac:dyDescent="0.3">
      <c r="A2" s="26" t="s">
        <v>25</v>
      </c>
      <c r="B2" s="26" t="s">
        <v>26</v>
      </c>
      <c r="C2" s="26" t="s">
        <v>27</v>
      </c>
      <c r="D2" s="26" t="s">
        <v>28</v>
      </c>
      <c r="E2" s="26" t="s">
        <v>30</v>
      </c>
      <c r="F2" s="27" t="s">
        <v>34</v>
      </c>
      <c r="G2" s="26" t="s">
        <v>35</v>
      </c>
      <c r="H2" s="26" t="s">
        <v>36</v>
      </c>
      <c r="I2" s="27" t="s">
        <v>37</v>
      </c>
    </row>
    <row r="3" spans="1:9" x14ac:dyDescent="0.3">
      <c r="A3" s="10">
        <v>1</v>
      </c>
      <c r="B3" s="10" t="s">
        <v>655</v>
      </c>
      <c r="C3" s="10" t="s">
        <v>44</v>
      </c>
      <c r="D3" s="10" t="s">
        <v>124</v>
      </c>
      <c r="E3" s="10" t="s">
        <v>60</v>
      </c>
      <c r="F3" s="10">
        <v>1</v>
      </c>
      <c r="G3" s="10">
        <v>3500</v>
      </c>
      <c r="H3" s="10">
        <v>600</v>
      </c>
      <c r="I3" s="10">
        <v>4100</v>
      </c>
    </row>
    <row r="4" spans="1:9" x14ac:dyDescent="0.3">
      <c r="A4" s="10">
        <v>2</v>
      </c>
      <c r="B4" s="10" t="s">
        <v>655</v>
      </c>
      <c r="C4" s="10" t="s">
        <v>357</v>
      </c>
      <c r="D4" s="10" t="s">
        <v>44</v>
      </c>
      <c r="E4" s="10" t="s">
        <v>656</v>
      </c>
      <c r="F4" s="10">
        <v>6</v>
      </c>
      <c r="G4" s="10">
        <v>7500</v>
      </c>
      <c r="H4" s="10">
        <v>3600</v>
      </c>
      <c r="I4" s="10">
        <v>11100</v>
      </c>
    </row>
    <row r="5" spans="1:9" x14ac:dyDescent="0.3">
      <c r="A5" s="10">
        <v>3</v>
      </c>
      <c r="B5" s="10" t="s">
        <v>655</v>
      </c>
      <c r="C5" s="10" t="s">
        <v>657</v>
      </c>
      <c r="D5" s="10" t="s">
        <v>44</v>
      </c>
      <c r="E5" s="10" t="s">
        <v>632</v>
      </c>
      <c r="F5" s="10">
        <v>6</v>
      </c>
      <c r="G5" s="10">
        <v>7500</v>
      </c>
      <c r="H5" s="10">
        <v>3600</v>
      </c>
      <c r="I5" s="10">
        <v>11100</v>
      </c>
    </row>
    <row r="6" spans="1:9" x14ac:dyDescent="0.3">
      <c r="A6" s="10">
        <v>4</v>
      </c>
      <c r="B6" s="10" t="s">
        <v>658</v>
      </c>
      <c r="C6" s="10" t="s">
        <v>357</v>
      </c>
      <c r="D6" s="10" t="s">
        <v>44</v>
      </c>
      <c r="E6" s="10" t="s">
        <v>599</v>
      </c>
      <c r="F6" s="10">
        <v>6</v>
      </c>
      <c r="G6" s="10">
        <v>7500</v>
      </c>
      <c r="H6" s="10">
        <v>3600</v>
      </c>
      <c r="I6" s="10">
        <v>11100</v>
      </c>
    </row>
    <row r="7" spans="1:9" x14ac:dyDescent="0.3">
      <c r="A7" s="10">
        <v>5</v>
      </c>
      <c r="B7" s="10" t="s">
        <v>659</v>
      </c>
      <c r="C7" s="10" t="s">
        <v>71</v>
      </c>
      <c r="D7" s="10" t="s">
        <v>44</v>
      </c>
      <c r="E7" s="10" t="s">
        <v>599</v>
      </c>
      <c r="F7" s="10">
        <v>6</v>
      </c>
      <c r="G7" s="10">
        <v>7500</v>
      </c>
      <c r="H7" s="10">
        <v>3600</v>
      </c>
      <c r="I7" s="10">
        <v>11100</v>
      </c>
    </row>
    <row r="8" spans="1:9" x14ac:dyDescent="0.3">
      <c r="A8" s="10">
        <v>6</v>
      </c>
      <c r="B8" s="10" t="s">
        <v>659</v>
      </c>
      <c r="C8" s="10" t="s">
        <v>71</v>
      </c>
      <c r="D8" s="10" t="s">
        <v>44</v>
      </c>
      <c r="E8" s="10" t="s">
        <v>632</v>
      </c>
      <c r="F8" s="10">
        <v>6</v>
      </c>
      <c r="G8" s="10">
        <v>7500</v>
      </c>
      <c r="H8" s="10">
        <v>3600</v>
      </c>
      <c r="I8" s="10">
        <v>11100</v>
      </c>
    </row>
    <row r="9" spans="1:9" x14ac:dyDescent="0.3">
      <c r="A9" s="10">
        <v>7</v>
      </c>
      <c r="B9" s="10" t="s">
        <v>660</v>
      </c>
      <c r="C9" s="10" t="s">
        <v>44</v>
      </c>
      <c r="D9" s="10" t="s">
        <v>71</v>
      </c>
      <c r="E9" s="10" t="s">
        <v>60</v>
      </c>
      <c r="F9" s="10">
        <v>1</v>
      </c>
      <c r="G9" s="10">
        <v>3400</v>
      </c>
      <c r="H9" s="10">
        <v>600</v>
      </c>
      <c r="I9" s="10">
        <v>4000</v>
      </c>
    </row>
    <row r="10" spans="1:9" x14ac:dyDescent="0.3">
      <c r="A10" s="10">
        <v>8</v>
      </c>
      <c r="B10" s="10" t="s">
        <v>660</v>
      </c>
      <c r="C10" s="10" t="s">
        <v>585</v>
      </c>
      <c r="D10" s="10" t="s">
        <v>44</v>
      </c>
      <c r="E10" s="10" t="s">
        <v>60</v>
      </c>
      <c r="F10" s="10">
        <v>1</v>
      </c>
      <c r="G10" s="10">
        <v>3500</v>
      </c>
      <c r="H10" s="10">
        <v>600</v>
      </c>
      <c r="I10" s="10">
        <v>4100</v>
      </c>
    </row>
    <row r="11" spans="1:9" x14ac:dyDescent="0.3">
      <c r="A11" s="10">
        <v>9</v>
      </c>
      <c r="B11" s="10" t="s">
        <v>660</v>
      </c>
      <c r="C11" s="10" t="s">
        <v>44</v>
      </c>
      <c r="D11" s="10" t="s">
        <v>124</v>
      </c>
      <c r="E11" s="10" t="s">
        <v>632</v>
      </c>
      <c r="F11" s="10">
        <v>6</v>
      </c>
      <c r="G11" s="10">
        <v>5900</v>
      </c>
      <c r="H11" s="10">
        <v>3600</v>
      </c>
      <c r="I11" s="10">
        <v>9500</v>
      </c>
    </row>
    <row r="12" spans="1:9" x14ac:dyDescent="0.3">
      <c r="A12" s="10">
        <v>10</v>
      </c>
      <c r="B12" s="10" t="s">
        <v>661</v>
      </c>
      <c r="C12" s="10" t="s">
        <v>71</v>
      </c>
      <c r="D12" s="10" t="s">
        <v>44</v>
      </c>
      <c r="E12" s="10" t="s">
        <v>667</v>
      </c>
      <c r="F12" s="10">
        <v>6</v>
      </c>
      <c r="G12" s="10">
        <v>7500</v>
      </c>
      <c r="H12" s="10">
        <v>3600</v>
      </c>
      <c r="I12" s="10">
        <v>11100</v>
      </c>
    </row>
    <row r="13" spans="1:9" x14ac:dyDescent="0.3">
      <c r="A13" s="10">
        <v>11</v>
      </c>
      <c r="B13" s="10" t="s">
        <v>662</v>
      </c>
      <c r="C13" s="10" t="s">
        <v>44</v>
      </c>
      <c r="D13" s="10" t="s">
        <v>124</v>
      </c>
      <c r="E13" s="10" t="s">
        <v>60</v>
      </c>
      <c r="F13" s="10">
        <v>3</v>
      </c>
      <c r="G13" s="10">
        <v>4900</v>
      </c>
      <c r="H13" s="10">
        <v>1200</v>
      </c>
      <c r="I13" s="10">
        <v>6100</v>
      </c>
    </row>
    <row r="14" spans="1:9" x14ac:dyDescent="0.3">
      <c r="A14" s="10">
        <v>12</v>
      </c>
      <c r="B14" s="10" t="s">
        <v>662</v>
      </c>
      <c r="C14" s="10" t="s">
        <v>657</v>
      </c>
      <c r="D14" s="10" t="s">
        <v>44</v>
      </c>
      <c r="E14" s="10" t="s">
        <v>632</v>
      </c>
      <c r="F14" s="10">
        <v>6</v>
      </c>
      <c r="G14" s="10">
        <v>7500</v>
      </c>
      <c r="H14" s="10">
        <v>3600</v>
      </c>
      <c r="I14" s="10">
        <v>11100</v>
      </c>
    </row>
    <row r="15" spans="1:9" x14ac:dyDescent="0.3">
      <c r="A15" s="10">
        <v>13</v>
      </c>
      <c r="B15" s="10" t="s">
        <v>662</v>
      </c>
      <c r="C15" s="10" t="s">
        <v>71</v>
      </c>
      <c r="D15" s="10" t="s">
        <v>44</v>
      </c>
      <c r="E15" s="10" t="s">
        <v>656</v>
      </c>
      <c r="F15" s="10">
        <v>6</v>
      </c>
      <c r="G15" s="10">
        <v>7500</v>
      </c>
      <c r="H15" s="10">
        <v>3600</v>
      </c>
      <c r="I15" s="10">
        <v>11100</v>
      </c>
    </row>
    <row r="16" spans="1:9" x14ac:dyDescent="0.3">
      <c r="A16" s="10">
        <v>14</v>
      </c>
      <c r="B16" s="10" t="s">
        <v>663</v>
      </c>
      <c r="C16" s="10" t="s">
        <v>44</v>
      </c>
      <c r="D16" s="10" t="s">
        <v>124</v>
      </c>
      <c r="E16" s="10" t="s">
        <v>60</v>
      </c>
      <c r="F16" s="10">
        <v>1</v>
      </c>
      <c r="G16" s="10">
        <v>3500</v>
      </c>
      <c r="H16" s="10">
        <v>600</v>
      </c>
      <c r="I16" s="10">
        <v>4100</v>
      </c>
    </row>
    <row r="17" spans="1:9" x14ac:dyDescent="0.3">
      <c r="A17" s="10">
        <v>15</v>
      </c>
      <c r="B17" s="10" t="s">
        <v>663</v>
      </c>
      <c r="C17" s="10" t="s">
        <v>71</v>
      </c>
      <c r="D17" s="10" t="s">
        <v>44</v>
      </c>
      <c r="E17" s="10" t="s">
        <v>664</v>
      </c>
      <c r="F17" s="10">
        <v>6</v>
      </c>
      <c r="G17" s="10">
        <v>7500</v>
      </c>
      <c r="H17" s="10">
        <v>3600</v>
      </c>
      <c r="I17" s="10">
        <v>11100</v>
      </c>
    </row>
    <row r="18" spans="1:9" x14ac:dyDescent="0.3">
      <c r="A18" s="10">
        <v>16</v>
      </c>
      <c r="B18" s="10" t="s">
        <v>665</v>
      </c>
      <c r="C18" s="10" t="s">
        <v>657</v>
      </c>
      <c r="D18" s="10" t="s">
        <v>44</v>
      </c>
      <c r="E18" s="10" t="s">
        <v>664</v>
      </c>
      <c r="F18" s="10">
        <v>6</v>
      </c>
      <c r="G18" s="10">
        <v>7500</v>
      </c>
      <c r="H18" s="10">
        <v>3600</v>
      </c>
      <c r="I18" s="10">
        <v>11100</v>
      </c>
    </row>
    <row r="19" spans="1:9" x14ac:dyDescent="0.3">
      <c r="A19" s="10">
        <v>17</v>
      </c>
      <c r="B19" s="10" t="s">
        <v>665</v>
      </c>
      <c r="C19" s="10" t="s">
        <v>71</v>
      </c>
      <c r="D19" s="10" t="s">
        <v>44</v>
      </c>
      <c r="E19" s="10" t="s">
        <v>656</v>
      </c>
      <c r="F19" s="10">
        <v>6</v>
      </c>
      <c r="G19" s="10">
        <v>7500</v>
      </c>
      <c r="H19" s="10">
        <v>3600</v>
      </c>
      <c r="I19" s="10">
        <v>11100</v>
      </c>
    </row>
    <row r="20" spans="1:9" x14ac:dyDescent="0.3">
      <c r="A20" s="10">
        <v>18</v>
      </c>
      <c r="B20" s="10" t="s">
        <v>666</v>
      </c>
      <c r="C20" s="10" t="s">
        <v>71</v>
      </c>
      <c r="D20" s="10" t="s">
        <v>44</v>
      </c>
      <c r="E20" s="10" t="s">
        <v>664</v>
      </c>
      <c r="F20" s="10">
        <v>6</v>
      </c>
      <c r="G20" s="10">
        <v>7500</v>
      </c>
      <c r="H20" s="10">
        <v>3600</v>
      </c>
      <c r="I20" s="10">
        <v>11100</v>
      </c>
    </row>
    <row r="21" spans="1:9" x14ac:dyDescent="0.3">
      <c r="A21" s="10">
        <v>19</v>
      </c>
      <c r="B21" s="10" t="s">
        <v>666</v>
      </c>
      <c r="C21" s="10" t="s">
        <v>357</v>
      </c>
      <c r="D21" s="10" t="s">
        <v>44</v>
      </c>
      <c r="E21" s="10" t="s">
        <v>656</v>
      </c>
      <c r="F21" s="10">
        <v>6</v>
      </c>
      <c r="G21" s="10">
        <v>7500</v>
      </c>
      <c r="H21" s="10">
        <v>3600</v>
      </c>
      <c r="I21" s="10">
        <v>11100</v>
      </c>
    </row>
    <row r="22" spans="1:9" x14ac:dyDescent="0.3">
      <c r="A22" s="10">
        <v>20</v>
      </c>
      <c r="B22" s="10" t="s">
        <v>671</v>
      </c>
      <c r="C22" s="10" t="s">
        <v>71</v>
      </c>
      <c r="D22" s="10" t="s">
        <v>44</v>
      </c>
      <c r="E22" s="10" t="s">
        <v>667</v>
      </c>
      <c r="F22" s="10">
        <v>6</v>
      </c>
      <c r="G22" s="10">
        <v>7500</v>
      </c>
      <c r="H22" s="10">
        <v>3600</v>
      </c>
      <c r="I22" s="10">
        <v>11100</v>
      </c>
    </row>
    <row r="23" spans="1:9" x14ac:dyDescent="0.3">
      <c r="F23" s="10" t="s">
        <v>41</v>
      </c>
      <c r="G23" s="10">
        <f>SUM(G3:G22)</f>
        <v>129700</v>
      </c>
      <c r="H23" s="10">
        <f>SUM(H3:H22)</f>
        <v>57600</v>
      </c>
      <c r="I23" s="10">
        <f>SUM(I3:I22)</f>
        <v>187300</v>
      </c>
    </row>
    <row r="26" spans="1:9" x14ac:dyDescent="0.3">
      <c r="A26" s="9" t="s">
        <v>688</v>
      </c>
      <c r="B26" s="10"/>
      <c r="C26" s="10"/>
      <c r="D26" s="10"/>
      <c r="E26" s="10"/>
      <c r="F26" s="10"/>
      <c r="G26" s="10"/>
      <c r="H26" s="10"/>
      <c r="I26" s="10"/>
    </row>
    <row r="27" spans="1:9" ht="28.8" x14ac:dyDescent="0.3">
      <c r="A27" s="26" t="s">
        <v>25</v>
      </c>
      <c r="B27" s="26" t="s">
        <v>26</v>
      </c>
      <c r="C27" s="26" t="s">
        <v>27</v>
      </c>
      <c r="D27" s="26" t="s">
        <v>28</v>
      </c>
      <c r="E27" s="26" t="s">
        <v>30</v>
      </c>
      <c r="F27" s="27" t="s">
        <v>34</v>
      </c>
      <c r="G27" s="26" t="s">
        <v>35</v>
      </c>
      <c r="H27" s="26" t="s">
        <v>36</v>
      </c>
      <c r="I27" s="27" t="s">
        <v>37</v>
      </c>
    </row>
    <row r="28" spans="1:9" x14ac:dyDescent="0.3">
      <c r="A28" s="10">
        <v>21</v>
      </c>
      <c r="B28" s="10" t="s">
        <v>672</v>
      </c>
      <c r="C28" s="10" t="s">
        <v>44</v>
      </c>
      <c r="D28" s="10" t="s">
        <v>124</v>
      </c>
      <c r="E28" s="10" t="s">
        <v>667</v>
      </c>
      <c r="F28" s="10">
        <v>6</v>
      </c>
      <c r="G28" s="10">
        <v>5900</v>
      </c>
      <c r="H28" s="10">
        <v>3600</v>
      </c>
      <c r="I28" s="10">
        <v>9500</v>
      </c>
    </row>
    <row r="29" spans="1:9" x14ac:dyDescent="0.3">
      <c r="A29" s="10">
        <v>22</v>
      </c>
      <c r="B29" s="10" t="s">
        <v>672</v>
      </c>
      <c r="C29" s="10" t="s">
        <v>657</v>
      </c>
      <c r="D29" s="10" t="s">
        <v>44</v>
      </c>
      <c r="E29" s="10" t="s">
        <v>673</v>
      </c>
      <c r="F29" s="10">
        <v>6</v>
      </c>
      <c r="G29" s="10">
        <v>7500</v>
      </c>
      <c r="H29" s="10">
        <v>3600</v>
      </c>
      <c r="I29" s="10">
        <v>11100</v>
      </c>
    </row>
    <row r="30" spans="1:9" x14ac:dyDescent="0.3">
      <c r="A30" s="10">
        <v>23</v>
      </c>
      <c r="B30" s="10" t="s">
        <v>674</v>
      </c>
      <c r="C30" s="10" t="s">
        <v>71</v>
      </c>
      <c r="D30" s="10" t="s">
        <v>44</v>
      </c>
      <c r="E30" s="10" t="s">
        <v>667</v>
      </c>
      <c r="F30" s="10">
        <v>6</v>
      </c>
      <c r="G30" s="10">
        <v>7500</v>
      </c>
      <c r="H30" s="10">
        <v>3600</v>
      </c>
      <c r="I30" s="10">
        <v>11100</v>
      </c>
    </row>
    <row r="31" spans="1:9" x14ac:dyDescent="0.3">
      <c r="A31" s="10">
        <v>24</v>
      </c>
      <c r="B31" s="10" t="s">
        <v>675</v>
      </c>
      <c r="C31" s="10" t="s">
        <v>657</v>
      </c>
      <c r="D31" s="10" t="s">
        <v>44</v>
      </c>
      <c r="E31" s="10" t="s">
        <v>60</v>
      </c>
      <c r="F31" s="10">
        <v>3</v>
      </c>
      <c r="G31" s="10">
        <v>6000</v>
      </c>
      <c r="H31" s="10">
        <v>1200</v>
      </c>
      <c r="I31" s="10">
        <v>7200</v>
      </c>
    </row>
    <row r="32" spans="1:9" x14ac:dyDescent="0.3">
      <c r="A32" s="10">
        <v>25</v>
      </c>
      <c r="B32" s="10" t="s">
        <v>675</v>
      </c>
      <c r="C32" s="10" t="s">
        <v>71</v>
      </c>
      <c r="D32" s="10" t="s">
        <v>44</v>
      </c>
      <c r="E32" s="10" t="s">
        <v>667</v>
      </c>
      <c r="F32" s="10">
        <v>6</v>
      </c>
      <c r="G32" s="10">
        <v>7500</v>
      </c>
      <c r="H32" s="10">
        <v>3600</v>
      </c>
      <c r="I32" s="10">
        <v>11100</v>
      </c>
    </row>
    <row r="33" spans="1:9" x14ac:dyDescent="0.3">
      <c r="A33" s="10">
        <v>26</v>
      </c>
      <c r="B33" s="10" t="s">
        <v>676</v>
      </c>
      <c r="C33" s="10" t="s">
        <v>657</v>
      </c>
      <c r="D33" s="10" t="s">
        <v>44</v>
      </c>
      <c r="E33" s="10" t="s">
        <v>673</v>
      </c>
      <c r="F33" s="10">
        <v>3</v>
      </c>
      <c r="G33" s="10">
        <v>6000</v>
      </c>
      <c r="H33" s="10">
        <v>1200</v>
      </c>
      <c r="I33" s="10">
        <v>7200</v>
      </c>
    </row>
    <row r="34" spans="1:9" x14ac:dyDescent="0.3">
      <c r="A34" s="10">
        <v>27</v>
      </c>
      <c r="B34" s="10" t="s">
        <v>676</v>
      </c>
      <c r="C34" s="10" t="s">
        <v>44</v>
      </c>
      <c r="D34" s="10" t="s">
        <v>124</v>
      </c>
      <c r="E34" s="10" t="s">
        <v>667</v>
      </c>
      <c r="F34" s="10">
        <v>6</v>
      </c>
      <c r="G34" s="10">
        <v>5900</v>
      </c>
      <c r="H34" s="10">
        <v>3600</v>
      </c>
      <c r="I34" s="10">
        <v>9500</v>
      </c>
    </row>
    <row r="35" spans="1:9" x14ac:dyDescent="0.3">
      <c r="A35" s="10">
        <v>28</v>
      </c>
      <c r="B35" s="10" t="s">
        <v>677</v>
      </c>
      <c r="C35" s="10" t="s">
        <v>44</v>
      </c>
      <c r="D35" s="10" t="s">
        <v>124</v>
      </c>
      <c r="E35" s="10" t="s">
        <v>667</v>
      </c>
      <c r="F35" s="10">
        <v>6</v>
      </c>
      <c r="G35" s="10">
        <v>5900</v>
      </c>
      <c r="H35" s="10">
        <v>3600</v>
      </c>
      <c r="I35" s="10">
        <v>9500</v>
      </c>
    </row>
    <row r="36" spans="1:9" x14ac:dyDescent="0.3">
      <c r="A36" s="10">
        <v>29</v>
      </c>
      <c r="B36" s="10" t="s">
        <v>677</v>
      </c>
      <c r="C36" s="10" t="s">
        <v>71</v>
      </c>
      <c r="D36" s="10" t="s">
        <v>44</v>
      </c>
      <c r="E36" s="10" t="s">
        <v>673</v>
      </c>
      <c r="F36" s="10">
        <v>6</v>
      </c>
      <c r="G36" s="10">
        <v>7500</v>
      </c>
      <c r="H36" s="10">
        <v>3600</v>
      </c>
      <c r="I36" s="10">
        <v>11100</v>
      </c>
    </row>
    <row r="37" spans="1:9" x14ac:dyDescent="0.3">
      <c r="A37" s="10">
        <v>30</v>
      </c>
      <c r="B37" s="10" t="s">
        <v>678</v>
      </c>
      <c r="C37" s="10" t="s">
        <v>657</v>
      </c>
      <c r="D37" s="10" t="s">
        <v>44</v>
      </c>
      <c r="E37" s="10" t="s">
        <v>667</v>
      </c>
      <c r="F37" s="10">
        <v>6</v>
      </c>
      <c r="G37" s="10">
        <v>7500</v>
      </c>
      <c r="H37" s="10">
        <v>3600</v>
      </c>
      <c r="I37" s="10">
        <v>11100</v>
      </c>
    </row>
    <row r="38" spans="1:9" x14ac:dyDescent="0.3">
      <c r="A38" s="10">
        <v>31</v>
      </c>
      <c r="B38" s="10" t="s">
        <v>678</v>
      </c>
      <c r="C38" s="10" t="s">
        <v>71</v>
      </c>
      <c r="D38" s="10" t="s">
        <v>44</v>
      </c>
      <c r="E38" s="10" t="s">
        <v>673</v>
      </c>
      <c r="F38" s="10">
        <v>6</v>
      </c>
      <c r="G38" s="10">
        <v>7500</v>
      </c>
      <c r="H38" s="10">
        <v>3600</v>
      </c>
      <c r="I38" s="10">
        <v>11100</v>
      </c>
    </row>
    <row r="39" spans="1:9" x14ac:dyDescent="0.3">
      <c r="A39" s="10">
        <v>32</v>
      </c>
      <c r="B39" s="10" t="s">
        <v>679</v>
      </c>
      <c r="C39" s="10" t="s">
        <v>44</v>
      </c>
      <c r="D39" s="10" t="s">
        <v>124</v>
      </c>
      <c r="E39" s="10" t="s">
        <v>667</v>
      </c>
      <c r="F39" s="10">
        <v>3</v>
      </c>
      <c r="G39" s="10">
        <v>4900</v>
      </c>
      <c r="H39" s="10">
        <v>1200</v>
      </c>
      <c r="I39" s="10">
        <v>6100</v>
      </c>
    </row>
    <row r="40" spans="1:9" x14ac:dyDescent="0.3">
      <c r="A40" s="10">
        <v>33</v>
      </c>
      <c r="B40" s="10" t="s">
        <v>679</v>
      </c>
      <c r="C40" s="10" t="s">
        <v>657</v>
      </c>
      <c r="D40" s="10" t="s">
        <v>44</v>
      </c>
      <c r="E40" s="10" t="s">
        <v>667</v>
      </c>
      <c r="F40" s="10">
        <v>3</v>
      </c>
      <c r="G40" s="10">
        <v>6000</v>
      </c>
      <c r="H40" s="10">
        <v>1200</v>
      </c>
      <c r="I40" s="10">
        <v>7200</v>
      </c>
    </row>
    <row r="41" spans="1:9" x14ac:dyDescent="0.3">
      <c r="A41" s="10">
        <v>34</v>
      </c>
      <c r="B41" s="10" t="s">
        <v>679</v>
      </c>
      <c r="C41" s="10" t="s">
        <v>71</v>
      </c>
      <c r="D41" s="10" t="s">
        <v>44</v>
      </c>
      <c r="E41" s="10" t="s">
        <v>673</v>
      </c>
      <c r="F41" s="10">
        <v>6</v>
      </c>
      <c r="G41" s="10">
        <v>7500</v>
      </c>
      <c r="H41" s="10">
        <v>3600</v>
      </c>
      <c r="I41" s="10">
        <v>11100</v>
      </c>
    </row>
    <row r="42" spans="1:9" x14ac:dyDescent="0.3">
      <c r="A42" s="10">
        <v>35</v>
      </c>
      <c r="B42" s="10" t="s">
        <v>680</v>
      </c>
      <c r="C42" s="10" t="s">
        <v>357</v>
      </c>
      <c r="D42" s="10" t="s">
        <v>44</v>
      </c>
      <c r="E42" s="10" t="s">
        <v>673</v>
      </c>
      <c r="F42" s="10">
        <v>6</v>
      </c>
      <c r="G42" s="10">
        <v>7500</v>
      </c>
      <c r="H42" s="10">
        <v>3600</v>
      </c>
      <c r="I42" s="10">
        <v>11100</v>
      </c>
    </row>
    <row r="43" spans="1:9" x14ac:dyDescent="0.3">
      <c r="A43" s="10">
        <v>36</v>
      </c>
      <c r="B43" s="10" t="s">
        <v>680</v>
      </c>
      <c r="C43" s="10" t="s">
        <v>357</v>
      </c>
      <c r="D43" s="10" t="s">
        <v>44</v>
      </c>
      <c r="E43" s="10" t="s">
        <v>667</v>
      </c>
      <c r="F43" s="10">
        <v>6</v>
      </c>
      <c r="G43" s="10">
        <v>7500</v>
      </c>
      <c r="H43" s="10">
        <v>3600</v>
      </c>
      <c r="I43" s="10">
        <v>11100</v>
      </c>
    </row>
    <row r="44" spans="1:9" x14ac:dyDescent="0.3">
      <c r="A44" s="10">
        <v>37</v>
      </c>
      <c r="B44" s="10" t="s">
        <v>681</v>
      </c>
      <c r="C44" s="10" t="s">
        <v>44</v>
      </c>
      <c r="D44" s="10" t="s">
        <v>124</v>
      </c>
      <c r="E44" s="10" t="s">
        <v>673</v>
      </c>
      <c r="F44" s="10">
        <v>6</v>
      </c>
      <c r="G44" s="10">
        <v>5900</v>
      </c>
      <c r="H44" s="10">
        <v>3600</v>
      </c>
      <c r="I44" s="10">
        <v>9500</v>
      </c>
    </row>
    <row r="45" spans="1:9" x14ac:dyDescent="0.3">
      <c r="A45" s="10">
        <v>38</v>
      </c>
      <c r="B45" s="10" t="s">
        <v>681</v>
      </c>
      <c r="C45" s="10" t="s">
        <v>657</v>
      </c>
      <c r="D45" s="10" t="s">
        <v>44</v>
      </c>
      <c r="E45" s="10" t="s">
        <v>667</v>
      </c>
      <c r="F45" s="10">
        <v>6</v>
      </c>
      <c r="G45" s="10">
        <v>7500</v>
      </c>
      <c r="H45" s="10">
        <v>2400</v>
      </c>
      <c r="I45" s="10">
        <v>9900</v>
      </c>
    </row>
    <row r="46" spans="1:9" x14ac:dyDescent="0.3">
      <c r="A46" s="10">
        <v>39</v>
      </c>
      <c r="B46" s="10" t="s">
        <v>681</v>
      </c>
      <c r="C46" s="10" t="s">
        <v>357</v>
      </c>
      <c r="D46" s="10" t="s">
        <v>44</v>
      </c>
      <c r="E46" s="10" t="s">
        <v>673</v>
      </c>
      <c r="F46" s="10">
        <v>6</v>
      </c>
      <c r="G46" s="10">
        <v>7500</v>
      </c>
      <c r="H46" s="10">
        <v>3600</v>
      </c>
      <c r="I46" s="10">
        <v>11100</v>
      </c>
    </row>
    <row r="47" spans="1:9" x14ac:dyDescent="0.3">
      <c r="A47" s="10">
        <v>40</v>
      </c>
      <c r="B47" s="10" t="s">
        <v>682</v>
      </c>
      <c r="C47" s="10" t="s">
        <v>44</v>
      </c>
      <c r="D47" s="10" t="s">
        <v>124</v>
      </c>
      <c r="E47" s="10" t="s">
        <v>683</v>
      </c>
      <c r="F47" s="10">
        <v>1</v>
      </c>
      <c r="G47" s="10">
        <v>3500</v>
      </c>
      <c r="H47" s="10">
        <v>600</v>
      </c>
      <c r="I47" s="10">
        <v>4100</v>
      </c>
    </row>
    <row r="48" spans="1:9" x14ac:dyDescent="0.3">
      <c r="A48" s="10">
        <v>41</v>
      </c>
      <c r="B48" s="10" t="s">
        <v>682</v>
      </c>
      <c r="C48" s="10" t="s">
        <v>44</v>
      </c>
      <c r="D48" s="10" t="s">
        <v>124</v>
      </c>
      <c r="E48" s="10" t="s">
        <v>667</v>
      </c>
      <c r="F48" s="10">
        <v>6</v>
      </c>
      <c r="G48" s="10">
        <v>5900</v>
      </c>
      <c r="H48" s="10">
        <v>3600</v>
      </c>
      <c r="I48" s="10">
        <v>9500</v>
      </c>
    </row>
    <row r="49" spans="1:9" x14ac:dyDescent="0.3">
      <c r="A49" s="10">
        <v>42</v>
      </c>
      <c r="B49" s="10" t="s">
        <v>682</v>
      </c>
      <c r="C49" s="10" t="s">
        <v>44</v>
      </c>
      <c r="D49" s="10" t="s">
        <v>518</v>
      </c>
      <c r="E49" s="10" t="s">
        <v>684</v>
      </c>
      <c r="F49" s="10">
        <v>1</v>
      </c>
      <c r="G49" s="10">
        <v>5500</v>
      </c>
      <c r="H49" s="10">
        <v>600</v>
      </c>
      <c r="I49" s="10">
        <v>6100</v>
      </c>
    </row>
    <row r="50" spans="1:9" x14ac:dyDescent="0.3">
      <c r="A50" s="10">
        <v>43</v>
      </c>
      <c r="B50" s="10" t="s">
        <v>682</v>
      </c>
      <c r="C50" s="10" t="s">
        <v>44</v>
      </c>
      <c r="D50" s="10" t="s">
        <v>65</v>
      </c>
      <c r="E50" s="10" t="s">
        <v>77</v>
      </c>
      <c r="F50" s="10">
        <v>6</v>
      </c>
      <c r="G50" s="10">
        <v>6200</v>
      </c>
      <c r="H50" s="10">
        <v>3600</v>
      </c>
      <c r="I50" s="10">
        <v>9800</v>
      </c>
    </row>
    <row r="51" spans="1:9" x14ac:dyDescent="0.3">
      <c r="A51" s="10">
        <v>44</v>
      </c>
      <c r="B51" s="10" t="s">
        <v>682</v>
      </c>
      <c r="C51" s="10" t="s">
        <v>657</v>
      </c>
      <c r="D51" s="10" t="s">
        <v>44</v>
      </c>
      <c r="E51" s="10" t="s">
        <v>282</v>
      </c>
      <c r="F51" s="10">
        <v>6</v>
      </c>
      <c r="G51" s="10">
        <v>7500</v>
      </c>
      <c r="H51" s="10">
        <v>3600</v>
      </c>
      <c r="I51" s="10">
        <v>11100</v>
      </c>
    </row>
    <row r="52" spans="1:9" x14ac:dyDescent="0.3">
      <c r="A52" s="10">
        <v>45</v>
      </c>
      <c r="B52" s="10" t="s">
        <v>682</v>
      </c>
      <c r="C52" s="10" t="s">
        <v>71</v>
      </c>
      <c r="D52" s="10" t="s">
        <v>44</v>
      </c>
      <c r="E52" s="10" t="s">
        <v>673</v>
      </c>
      <c r="F52" s="10">
        <v>6</v>
      </c>
      <c r="G52" s="10">
        <v>7500</v>
      </c>
      <c r="H52" s="10">
        <v>3600</v>
      </c>
      <c r="I52" s="10">
        <v>11100</v>
      </c>
    </row>
    <row r="53" spans="1:9" x14ac:dyDescent="0.3">
      <c r="A53" s="10">
        <v>46</v>
      </c>
      <c r="B53" s="10" t="s">
        <v>682</v>
      </c>
      <c r="C53" s="10" t="s">
        <v>71</v>
      </c>
      <c r="D53" s="10" t="s">
        <v>44</v>
      </c>
      <c r="E53" s="10" t="s">
        <v>667</v>
      </c>
      <c r="F53" s="10">
        <v>6</v>
      </c>
      <c r="G53" s="10">
        <v>7500</v>
      </c>
      <c r="H53" s="10">
        <v>3600</v>
      </c>
      <c r="I53" s="10">
        <v>11100</v>
      </c>
    </row>
    <row r="54" spans="1:9" x14ac:dyDescent="0.3">
      <c r="F54" s="10" t="s">
        <v>41</v>
      </c>
      <c r="G54" s="10">
        <f>SUM(G28:G53)</f>
        <v>172600</v>
      </c>
      <c r="H54" s="10">
        <f>SUM(H28:H53)</f>
        <v>76800</v>
      </c>
      <c r="I54" s="10">
        <f>SUM(I28:I53)</f>
        <v>249400</v>
      </c>
    </row>
  </sheetData>
  <pageMargins left="0" right="0" top="0.74803149606299213" bottom="0.74803149606299213" header="0.31496062992125984" footer="0.3149606299212598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12E6-6418-47E6-9AB7-ACC00833F3CC}">
  <dimension ref="A2:P15"/>
  <sheetViews>
    <sheetView showGridLines="0" zoomScale="91" zoomScaleNormal="110" workbookViewId="0">
      <selection activeCell="G24" sqref="G24"/>
    </sheetView>
  </sheetViews>
  <sheetFormatPr defaultRowHeight="14.4" x14ac:dyDescent="0.3"/>
  <cols>
    <col min="3" max="3" width="13.44140625" bestFit="1" customWidth="1"/>
    <col min="4" max="4" width="11.21875" bestFit="1" customWidth="1"/>
    <col min="5" max="5" width="17" bestFit="1" customWidth="1"/>
    <col min="6" max="6" width="17" customWidth="1"/>
    <col min="7" max="7" width="10.44140625" bestFit="1" customWidth="1"/>
    <col min="8" max="8" width="14.77734375" bestFit="1" customWidth="1"/>
  </cols>
  <sheetData>
    <row r="2" spans="1:16" ht="15" thickBot="1" x14ac:dyDescent="0.35">
      <c r="A2" s="8" t="s">
        <v>169</v>
      </c>
      <c r="N2" s="8" t="s">
        <v>168</v>
      </c>
    </row>
    <row r="3" spans="1:16" ht="15" thickBot="1" x14ac:dyDescent="0.35">
      <c r="A3" s="40" t="s">
        <v>163</v>
      </c>
      <c r="B3" s="41" t="s">
        <v>26</v>
      </c>
      <c r="C3" s="41" t="s">
        <v>170</v>
      </c>
      <c r="D3" s="41" t="s">
        <v>171</v>
      </c>
      <c r="E3" s="41" t="s">
        <v>166</v>
      </c>
      <c r="F3" s="41" t="s">
        <v>164</v>
      </c>
      <c r="G3" s="41" t="s">
        <v>30</v>
      </c>
      <c r="H3" s="41" t="s">
        <v>165</v>
      </c>
      <c r="I3" s="41" t="s">
        <v>8</v>
      </c>
      <c r="J3" s="41" t="s">
        <v>36</v>
      </c>
      <c r="K3" s="41" t="s">
        <v>167</v>
      </c>
      <c r="L3" s="42" t="s">
        <v>38</v>
      </c>
      <c r="N3" s="40" t="s">
        <v>8</v>
      </c>
      <c r="O3" s="41" t="s">
        <v>36</v>
      </c>
      <c r="P3" s="42" t="s">
        <v>38</v>
      </c>
    </row>
    <row r="4" spans="1:16" x14ac:dyDescent="0.3">
      <c r="A4" s="43">
        <v>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4"/>
      <c r="N4" s="43"/>
      <c r="O4" s="39"/>
      <c r="P4" s="44"/>
    </row>
    <row r="5" spans="1:16" x14ac:dyDescent="0.3">
      <c r="A5" s="45"/>
      <c r="B5" s="10"/>
      <c r="C5" s="10"/>
      <c r="D5" s="10"/>
      <c r="E5" s="10"/>
      <c r="F5" s="10"/>
      <c r="G5" s="10"/>
      <c r="H5" s="10"/>
      <c r="I5" s="10"/>
      <c r="J5" s="10"/>
      <c r="K5" s="10"/>
      <c r="L5" s="46"/>
      <c r="N5" s="45"/>
      <c r="O5" s="10"/>
      <c r="P5" s="46"/>
    </row>
    <row r="6" spans="1:16" x14ac:dyDescent="0.3">
      <c r="A6" s="45"/>
      <c r="B6" s="10"/>
      <c r="C6" s="10"/>
      <c r="D6" s="10"/>
      <c r="E6" s="10"/>
      <c r="F6" s="10"/>
      <c r="G6" s="10"/>
      <c r="H6" s="10"/>
      <c r="I6" s="10"/>
      <c r="J6" s="10"/>
      <c r="K6" s="10"/>
      <c r="L6" s="46"/>
      <c r="N6" s="45"/>
      <c r="O6" s="10"/>
      <c r="P6" s="46"/>
    </row>
    <row r="7" spans="1:16" x14ac:dyDescent="0.3">
      <c r="A7" s="45"/>
      <c r="B7" s="10"/>
      <c r="C7" s="10"/>
      <c r="D7" s="10"/>
      <c r="E7" s="10"/>
      <c r="F7" s="10"/>
      <c r="G7" s="10"/>
      <c r="H7" s="10"/>
      <c r="I7" s="10"/>
      <c r="J7" s="10"/>
      <c r="K7" s="10"/>
      <c r="L7" s="46"/>
      <c r="N7" s="45"/>
      <c r="O7" s="10"/>
      <c r="P7" s="46"/>
    </row>
    <row r="8" spans="1:16" x14ac:dyDescent="0.3">
      <c r="A8" s="45"/>
      <c r="B8" s="10"/>
      <c r="C8" s="10"/>
      <c r="D8" s="10"/>
      <c r="E8" s="10"/>
      <c r="F8" s="10"/>
      <c r="G8" s="10"/>
      <c r="H8" s="10"/>
      <c r="I8" s="10"/>
      <c r="J8" s="10"/>
      <c r="K8" s="10"/>
      <c r="L8" s="46"/>
      <c r="N8" s="45"/>
      <c r="O8" s="10"/>
      <c r="P8" s="46"/>
    </row>
    <row r="9" spans="1:16" x14ac:dyDescent="0.3">
      <c r="A9" s="45"/>
      <c r="B9" s="10"/>
      <c r="C9" s="10"/>
      <c r="D9" s="10"/>
      <c r="E9" s="10"/>
      <c r="F9" s="10"/>
      <c r="G9" s="10"/>
      <c r="H9" s="10"/>
      <c r="I9" s="10"/>
      <c r="J9" s="10"/>
      <c r="K9" s="10"/>
      <c r="L9" s="46"/>
      <c r="N9" s="45"/>
      <c r="O9" s="10"/>
      <c r="P9" s="46"/>
    </row>
    <row r="10" spans="1:16" x14ac:dyDescent="0.3">
      <c r="A10" s="4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46"/>
      <c r="N10" s="45"/>
      <c r="O10" s="10"/>
      <c r="P10" s="46"/>
    </row>
    <row r="11" spans="1:16" x14ac:dyDescent="0.3">
      <c r="A11" s="4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46"/>
      <c r="N11" s="45"/>
      <c r="O11" s="10"/>
      <c r="P11" s="46"/>
    </row>
    <row r="12" spans="1:16" x14ac:dyDescent="0.3">
      <c r="A12" s="4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46"/>
      <c r="N12" s="45"/>
      <c r="O12" s="10"/>
      <c r="P12" s="46"/>
    </row>
    <row r="13" spans="1:16" x14ac:dyDescent="0.3">
      <c r="A13" s="4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46"/>
      <c r="N13" s="45"/>
      <c r="O13" s="10"/>
      <c r="P13" s="46"/>
    </row>
    <row r="14" spans="1:16" x14ac:dyDescent="0.3">
      <c r="A14" s="4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46"/>
      <c r="N14" s="45"/>
      <c r="O14" s="10"/>
      <c r="P14" s="46"/>
    </row>
    <row r="15" spans="1:16" ht="15" thickBot="1" x14ac:dyDescent="0.3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N15" s="47"/>
      <c r="O15" s="48"/>
      <c r="P15" s="4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A18F-A475-4808-8F03-8518A26E2B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13</vt:i4>
      </vt:variant>
    </vt:vector>
  </HeadingPairs>
  <TitlesOfParts>
    <vt:vector size="33" baseType="lpstr">
      <vt:lpstr>Summary</vt:lpstr>
      <vt:lpstr>invoice</vt:lpstr>
      <vt:lpstr>April'25</vt:lpstr>
      <vt:lpstr>May'25</vt:lpstr>
      <vt:lpstr>June'25</vt:lpstr>
      <vt:lpstr>July'25</vt:lpstr>
      <vt:lpstr>Aug'25</vt:lpstr>
      <vt:lpstr>Sept'25</vt:lpstr>
      <vt:lpstr>Oct'25</vt:lpstr>
      <vt:lpstr>Dec'25</vt:lpstr>
      <vt:lpstr>JAN'26</vt:lpstr>
      <vt:lpstr>Feb'26</vt:lpstr>
      <vt:lpstr>Mar'26</vt:lpstr>
      <vt:lpstr>Apr'26</vt:lpstr>
      <vt:lpstr>May'26</vt:lpstr>
      <vt:lpstr>June'26</vt:lpstr>
      <vt:lpstr>July'26</vt:lpstr>
      <vt:lpstr>Augst'26</vt:lpstr>
      <vt:lpstr>Format</vt:lpstr>
      <vt:lpstr>Sheet1</vt:lpstr>
      <vt:lpstr>'April''25'!Print_Area</vt:lpstr>
      <vt:lpstr>'Aug''25'!Print_Area</vt:lpstr>
      <vt:lpstr>'Augst''26'!Print_Area</vt:lpstr>
      <vt:lpstr>'Dec''25'!Print_Area</vt:lpstr>
      <vt:lpstr>'Feb''26'!Print_Area</vt:lpstr>
      <vt:lpstr>invoice!Print_Area</vt:lpstr>
      <vt:lpstr>'JAN''26'!Print_Area</vt:lpstr>
      <vt:lpstr>'July''25'!Print_Area</vt:lpstr>
      <vt:lpstr>'July''26'!Print_Area</vt:lpstr>
      <vt:lpstr>'June''25'!Print_Area</vt:lpstr>
      <vt:lpstr>'May''25'!Print_Area</vt:lpstr>
      <vt:lpstr>'Oct''25'!Print_Area</vt:lpstr>
      <vt:lpstr>'Sept''25'!Print_Area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Goud</dc:creator>
  <cp:lastModifiedBy>vardhan goud</cp:lastModifiedBy>
  <cp:lastPrinted>2026-08-15T07:07:13Z</cp:lastPrinted>
  <dcterms:created xsi:type="dcterms:W3CDTF">2025-04-17T03:19:45Z</dcterms:created>
  <dcterms:modified xsi:type="dcterms:W3CDTF">2026-09-04T08:21:02Z</dcterms:modified>
</cp:coreProperties>
</file>